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7F4F1A8A-E25D-4067-9DB2-46470B03D466}" xr6:coauthVersionLast="47" xr6:coauthVersionMax="47" xr10:uidLastSave="{00000000-0000-0000-0000-000000000000}"/>
  <bookViews>
    <workbookView xWindow="-120" yWindow="-120" windowWidth="29040" windowHeight="15840" xr2:uid="{00000000-000D-0000-FFFF-FFFF00000000}"/>
  </bookViews>
  <sheets>
    <sheet name="Sales_Data" sheetId="1" r:id="rId1"/>
    <sheet name="Practice_Questions" sheetId="2" r:id="rId2"/>
    <sheet name="23. Pivot and slicer" sheetId="6" r:id="rId3"/>
    <sheet name="q.24 to q.29" sheetId="7" r:id="rId4"/>
    <sheet name="Pivoting" sheetId="9" state="hidden" r:id="rId5"/>
    <sheet name="Dashboard" sheetId="11" r:id="rId6"/>
  </sheets>
  <definedNames>
    <definedName name="_xlnm._FilterDatabase" localSheetId="0" hidden="1">Sales_Data!$A$1:$L$301</definedName>
    <definedName name="Slicer_Category">#N/A</definedName>
    <definedName name="Slicer_Month_Name">#N/A</definedName>
    <definedName name="Slicer_Month_Name1">#N/A</definedName>
    <definedName name="Slicer_Region">#N/A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8" i="1" l="1"/>
  <c r="B49" i="7" a="1"/>
  <c r="B49" i="7" s="1"/>
  <c r="C49" i="7" s="1"/>
  <c r="C30" i="7"/>
  <c r="B18" i="7" a="1"/>
  <c r="B18" i="7" s="1"/>
  <c r="C18" i="7" s="1"/>
  <c r="C43" i="7"/>
  <c r="B36" i="7" a="1"/>
  <c r="B36" i="7" s="1"/>
  <c r="C36" i="7" s="1"/>
  <c r="C8" i="7"/>
  <c r="C12" i="7"/>
  <c r="B6" i="7" a="1"/>
  <c r="B6" i="7" s="1"/>
  <c r="C6" i="7" s="1"/>
  <c r="L2" i="1" a="1"/>
  <c r="L2" i="1" s="1"/>
  <c r="K2" i="1" a="1"/>
  <c r="K2" i="1" s="1"/>
  <c r="U46" i="1"/>
  <c r="T38" i="1" a="1"/>
  <c r="T38" i="1" s="1"/>
  <c r="T34" i="1" a="1"/>
  <c r="T34" i="1" s="1"/>
  <c r="T28" i="1" a="1"/>
  <c r="T28" i="1" s="1"/>
  <c r="U18" i="1"/>
  <c r="U17" i="1"/>
  <c r="U14" i="1"/>
  <c r="U11" i="1"/>
  <c r="I3" i="1"/>
  <c r="J3" i="1" s="1"/>
  <c r="I4" i="1"/>
  <c r="J4" i="1" s="1"/>
  <c r="I5" i="1"/>
  <c r="J5" i="1" s="1"/>
  <c r="I6" i="1"/>
  <c r="J6" i="1" s="1"/>
  <c r="I7" i="1"/>
  <c r="J7" i="1" s="1"/>
  <c r="I8" i="1"/>
  <c r="J8" i="1" s="1"/>
  <c r="I9" i="1"/>
  <c r="J9" i="1" s="1"/>
  <c r="I10" i="1"/>
  <c r="J10" i="1" s="1"/>
  <c r="I11" i="1"/>
  <c r="J11" i="1" s="1"/>
  <c r="I12" i="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2" i="1"/>
  <c r="J2" i="1" s="1"/>
  <c r="C39" i="7" l="1"/>
  <c r="C22" i="7"/>
  <c r="C53" i="7"/>
  <c r="C52" i="7"/>
  <c r="C11" i="7"/>
  <c r="C42" i="7"/>
  <c r="C38" i="7"/>
  <c r="C21" i="7"/>
  <c r="C10" i="7"/>
  <c r="C7" i="7"/>
  <c r="C41" i="7"/>
  <c r="C37" i="7"/>
  <c r="C24" i="7"/>
  <c r="C20" i="7"/>
  <c r="C51" i="7"/>
  <c r="C9" i="7"/>
  <c r="C40" i="7"/>
  <c r="C23" i="7"/>
  <c r="C19" i="7"/>
  <c r="C54" i="7"/>
  <c r="C50" i="7"/>
  <c r="U28" i="1" a="1"/>
  <c r="U28" i="1" s="1"/>
  <c r="U38" i="1" a="1"/>
  <c r="U38" i="1" s="1"/>
  <c r="U34" i="1" a="1"/>
  <c r="U34" i="1" s="1"/>
  <c r="J12" i="1"/>
  <c r="D50" i="7" l="1"/>
  <c r="D54" i="7"/>
  <c r="D52" i="7"/>
  <c r="D51" i="7"/>
  <c r="D53" i="7"/>
  <c r="D4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<sst xmlns="http://schemas.openxmlformats.org/spreadsheetml/2006/main" count="1738" uniqueCount="253">
  <si>
    <t>Order_ID</t>
  </si>
  <si>
    <t>Order_Date</t>
  </si>
  <si>
    <t>Region</t>
  </si>
  <si>
    <t>Salesperson</t>
  </si>
  <si>
    <t>Product</t>
  </si>
  <si>
    <t>Category</t>
  </si>
  <si>
    <t>Quantity</t>
  </si>
  <si>
    <t>Unit_Price</t>
  </si>
  <si>
    <t>2024-01-09</t>
  </si>
  <si>
    <t>South</t>
  </si>
  <si>
    <t>Priya</t>
  </si>
  <si>
    <t>Sofa</t>
  </si>
  <si>
    <t>Furniture</t>
  </si>
  <si>
    <t>2024-04-21</t>
  </si>
  <si>
    <t>East</t>
  </si>
  <si>
    <t>Karan</t>
  </si>
  <si>
    <t>Printer</t>
  </si>
  <si>
    <t>Electronics</t>
  </si>
  <si>
    <t>2024-02-23</t>
  </si>
  <si>
    <t>North</t>
  </si>
  <si>
    <t>Laptop</t>
  </si>
  <si>
    <t>2024-04-29</t>
  </si>
  <si>
    <t>2024-02-19</t>
  </si>
  <si>
    <t>Tablet</t>
  </si>
  <si>
    <t>2024-03-15</t>
  </si>
  <si>
    <t>Mobile</t>
  </si>
  <si>
    <t>2024-06-21</t>
  </si>
  <si>
    <t>West</t>
  </si>
  <si>
    <t>2024-01-28</t>
  </si>
  <si>
    <t>Riya</t>
  </si>
  <si>
    <t>2024-05-26</t>
  </si>
  <si>
    <t>Sneha</t>
  </si>
  <si>
    <t>Chair</t>
  </si>
  <si>
    <t>2024-06-15</t>
  </si>
  <si>
    <t>2024-02-12</t>
  </si>
  <si>
    <t>Desk</t>
  </si>
  <si>
    <t>2024-03-29</t>
  </si>
  <si>
    <t>2024-04-08</t>
  </si>
  <si>
    <t>2024-05-27</t>
  </si>
  <si>
    <t>2024-06-02</t>
  </si>
  <si>
    <t>2024-03-02</t>
  </si>
  <si>
    <t>2024-05-29</t>
  </si>
  <si>
    <t>Rahul</t>
  </si>
  <si>
    <t>2024-05-10</t>
  </si>
  <si>
    <t>2024-01-07</t>
  </si>
  <si>
    <t>2024-01-18</t>
  </si>
  <si>
    <t>2024-04-06</t>
  </si>
  <si>
    <t>2024-03-17</t>
  </si>
  <si>
    <t>2024-04-24</t>
  </si>
  <si>
    <t>Amit</t>
  </si>
  <si>
    <t>2024-06-25</t>
  </si>
  <si>
    <t>2024-01-15</t>
  </si>
  <si>
    <t>2024-02-05</t>
  </si>
  <si>
    <t>2024-06-13</t>
  </si>
  <si>
    <t>2024-04-20</t>
  </si>
  <si>
    <t>2024-02-24</t>
  </si>
  <si>
    <t>2024-01-01</t>
  </si>
  <si>
    <t>2024-03-04</t>
  </si>
  <si>
    <t>2024-02-18</t>
  </si>
  <si>
    <t>2024-03-10</t>
  </si>
  <si>
    <t>2024-04-07</t>
  </si>
  <si>
    <t>2024-06-10</t>
  </si>
  <si>
    <t>2024-01-04</t>
  </si>
  <si>
    <t>2024-05-20</t>
  </si>
  <si>
    <t>2024-03-01</t>
  </si>
  <si>
    <t>2024-03-24</t>
  </si>
  <si>
    <t>2024-03-13</t>
  </si>
  <si>
    <t>2024-06-12</t>
  </si>
  <si>
    <t>2024-01-25</t>
  </si>
  <si>
    <t>2024-05-06</t>
  </si>
  <si>
    <t>2024-03-30</t>
  </si>
  <si>
    <t>2024-04-02</t>
  </si>
  <si>
    <t>2024-03-07</t>
  </si>
  <si>
    <t>2024-03-26</t>
  </si>
  <si>
    <t>2024-05-19</t>
  </si>
  <si>
    <t>2024-01-29</t>
  </si>
  <si>
    <t>2024-05-12</t>
  </si>
  <si>
    <t>2024-01-08</t>
  </si>
  <si>
    <t>2024-04-05</t>
  </si>
  <si>
    <t>2024-06-20</t>
  </si>
  <si>
    <t>2024-06-29</t>
  </si>
  <si>
    <t>2024-01-31</t>
  </si>
  <si>
    <t>2024-05-07</t>
  </si>
  <si>
    <t>2024-03-11</t>
  </si>
  <si>
    <t>2024-06-28</t>
  </si>
  <si>
    <t>2024-05-30</t>
  </si>
  <si>
    <t>2024-05-01</t>
  </si>
  <si>
    <t>2024-06-22</t>
  </si>
  <si>
    <t>2024-01-23</t>
  </si>
  <si>
    <t>2024-01-21</t>
  </si>
  <si>
    <t>2024-02-08</t>
  </si>
  <si>
    <t>2024-05-15</t>
  </si>
  <si>
    <t>2024-04-30</t>
  </si>
  <si>
    <t>2024-03-03</t>
  </si>
  <si>
    <t>2024-06-08</t>
  </si>
  <si>
    <t>2024-02-14</t>
  </si>
  <si>
    <t>2024-01-19</t>
  </si>
  <si>
    <t>2024-02-20</t>
  </si>
  <si>
    <t>2024-06-07</t>
  </si>
  <si>
    <t>2024-03-25</t>
  </si>
  <si>
    <t>2024-01-11</t>
  </si>
  <si>
    <t>2024-05-23</t>
  </si>
  <si>
    <t>2024-02-03</t>
  </si>
  <si>
    <t>2024-05-21</t>
  </si>
  <si>
    <t>2024-02-10</t>
  </si>
  <si>
    <t>2024-03-28</t>
  </si>
  <si>
    <t>2024-01-06</t>
  </si>
  <si>
    <t>2024-03-08</t>
  </si>
  <si>
    <t>2024-06-17</t>
  </si>
  <si>
    <t>2024-05-02</t>
  </si>
  <si>
    <t>2024-03-22</t>
  </si>
  <si>
    <t>2024-06-16</t>
  </si>
  <si>
    <t>2024-05-22</t>
  </si>
  <si>
    <t>2024-04-23</t>
  </si>
  <si>
    <t>2024-06-03</t>
  </si>
  <si>
    <t>2024-02-02</t>
  </si>
  <si>
    <t>2024-02-06</t>
  </si>
  <si>
    <t>2024-04-01</t>
  </si>
  <si>
    <t>2024-03-20</t>
  </si>
  <si>
    <t>2024-04-25</t>
  </si>
  <si>
    <t>2024-04-17</t>
  </si>
  <si>
    <t>2024-05-04</t>
  </si>
  <si>
    <t>2024-04-18</t>
  </si>
  <si>
    <t>2024-03-12</t>
  </si>
  <si>
    <t>2024-01-14</t>
  </si>
  <si>
    <t>2024-05-09</t>
  </si>
  <si>
    <t>2024-04-12</t>
  </si>
  <si>
    <t>2024-01-26</t>
  </si>
  <si>
    <t>2024-02-25</t>
  </si>
  <si>
    <t>2024-06-11</t>
  </si>
  <si>
    <t>2024-04-19</t>
  </si>
  <si>
    <t>2024-01-20</t>
  </si>
  <si>
    <t>2024-02-26</t>
  </si>
  <si>
    <t>2024-06-14</t>
  </si>
  <si>
    <t>2024-04-04</t>
  </si>
  <si>
    <t>2024-01-03</t>
  </si>
  <si>
    <t>2024-01-17</t>
  </si>
  <si>
    <t>2024-04-10</t>
  </si>
  <si>
    <t>2024-03-19</t>
  </si>
  <si>
    <t>2024-04-26</t>
  </si>
  <si>
    <t>2024-06-18</t>
  </si>
  <si>
    <t>2024-06-23</t>
  </si>
  <si>
    <t>2024-03-27</t>
  </si>
  <si>
    <t>2024-02-21</t>
  </si>
  <si>
    <t>2024-05-11</t>
  </si>
  <si>
    <t>2024-05-28</t>
  </si>
  <si>
    <t>2024-06-26</t>
  </si>
  <si>
    <t>2024-01-12</t>
  </si>
  <si>
    <t>2024-05-14</t>
  </si>
  <si>
    <t>2024-04-13</t>
  </si>
  <si>
    <t>2024-04-09</t>
  </si>
  <si>
    <t>2024-01-10</t>
  </si>
  <si>
    <t>2024-04-28</t>
  </si>
  <si>
    <t>2024-05-08</t>
  </si>
  <si>
    <t>2024-02-22</t>
  </si>
  <si>
    <t>2024-06-05</t>
  </si>
  <si>
    <t>2024-02-17</t>
  </si>
  <si>
    <t>2024-03-31</t>
  </si>
  <si>
    <t>2024-05-31</t>
  </si>
  <si>
    <t>2024-02-07</t>
  </si>
  <si>
    <t>2024-03-05</t>
  </si>
  <si>
    <t>2024-06-06</t>
  </si>
  <si>
    <t>2024-01-02</t>
  </si>
  <si>
    <t>2024-01-16</t>
  </si>
  <si>
    <t>2024-03-18</t>
  </si>
  <si>
    <t>2024-01-24</t>
  </si>
  <si>
    <t>2024-06-27</t>
  </si>
  <si>
    <t>2024-01-13</t>
  </si>
  <si>
    <t>2024-02-09</t>
  </si>
  <si>
    <t>2024-02-29</t>
  </si>
  <si>
    <t>2024-06-04</t>
  </si>
  <si>
    <t>2024-05-05</t>
  </si>
  <si>
    <t>2024-03-21</t>
  </si>
  <si>
    <t>2024-04-27</t>
  </si>
  <si>
    <t>2024-02-15</t>
  </si>
  <si>
    <t>2024-06-09</t>
  </si>
  <si>
    <t>2024-03-23</t>
  </si>
  <si>
    <t>2024-05-16</t>
  </si>
  <si>
    <t>2024-05-18</t>
  </si>
  <si>
    <t>BASIC LEVEL:</t>
  </si>
  <si>
    <t>1. Create Total Sales column (Quantity * Unit Price).</t>
  </si>
  <si>
    <t>2. Find Total Revenue using SUM.</t>
  </si>
  <si>
    <t>3. Find Average Unit Price.</t>
  </si>
  <si>
    <t>4. Count total number of orders.</t>
  </si>
  <si>
    <t>5. Find Maximum and Minimum Unit Price.</t>
  </si>
  <si>
    <t>6. Apply Filter to show only Electronics category.</t>
  </si>
  <si>
    <t>INTERMEDIATE LEVEL:</t>
  </si>
  <si>
    <t>7. Create IF column: High Sale if Total Sales &gt; 100000 else Normal.</t>
  </si>
  <si>
    <t>8. Calculate total sales by Region using SUMIF.</t>
  </si>
  <si>
    <t>9. Calculate total quantity sold for each Category.</t>
  </si>
  <si>
    <t>10. Find total sales by Salesperson using SUMIFS.</t>
  </si>
  <si>
    <t>11. Use COUNTIF to count orders from North region.</t>
  </si>
  <si>
    <t>12. Extract Year and Month from Order_Date.</t>
  </si>
  <si>
    <t>13. Create Month Name column using TEXT function.</t>
  </si>
  <si>
    <t>14. Remove duplicate rows (if any).</t>
  </si>
  <si>
    <t>15. Apply Conditional Formatting to highlight sales &gt; 150000.</t>
  </si>
  <si>
    <t>ADVANCED LEVEL:</t>
  </si>
  <si>
    <t>16. Create Pivot Table: Total Sales by Region.</t>
  </si>
  <si>
    <t>17. Create Pivot Table: Sales by Salesperson and Category.</t>
  </si>
  <si>
    <t>18. Create Pivot Table: Monthly Sales Trend.</t>
  </si>
  <si>
    <t>19. Add Slicer for Region.</t>
  </si>
  <si>
    <t>20. Create Bar Chart for Sales by Product.</t>
  </si>
  <si>
    <t>21. Create Line Chart for Monthly Sales Trend.</t>
  </si>
  <si>
    <t>22. Create KPI cards (Total Revenue, Avg Sales, Total Orders).</t>
  </si>
  <si>
    <t>23. Create Dynamic Dashboard using Pivot + Slicer.</t>
  </si>
  <si>
    <t>24. Use VLOOKUP/XLOOKUP to fetch price from separate lookup table.</t>
  </si>
  <si>
    <t>25. Use INDEX + MATCH for dynamic lookup.</t>
  </si>
  <si>
    <t>26. Create Data Validation dropdown for Region.</t>
  </si>
  <si>
    <t>27. Use IFERROR with lookup formula.</t>
  </si>
  <si>
    <t>28. Rank Salesperson based on total sales.</t>
  </si>
  <si>
    <t>29. Create Top 5 Products report.</t>
  </si>
  <si>
    <t>30. Create a complete Sales Dashboard.</t>
  </si>
  <si>
    <t>Total Sales</t>
  </si>
  <si>
    <t>Total Sales Column</t>
  </si>
  <si>
    <t>Quantity*Price</t>
  </si>
  <si>
    <t>Total Revenue</t>
  </si>
  <si>
    <t>Average Unit Price</t>
  </si>
  <si>
    <t>Total Orders</t>
  </si>
  <si>
    <t>Max Unit Price</t>
  </si>
  <si>
    <t>Min Unit Price</t>
  </si>
  <si>
    <t>Sales_Segment</t>
  </si>
  <si>
    <t>10. Find total sales by Salesperson .</t>
  </si>
  <si>
    <t>8. Calculate total sales by Regions.</t>
  </si>
  <si>
    <t>11. Count orders from North region.</t>
  </si>
  <si>
    <t>Total Orders From North</t>
  </si>
  <si>
    <t>Year-Month</t>
  </si>
  <si>
    <t>Month Name</t>
  </si>
  <si>
    <t>Column Labels</t>
  </si>
  <si>
    <t>Grand Total</t>
  </si>
  <si>
    <t>Row Labels</t>
  </si>
  <si>
    <t>Sum of Total Sales</t>
  </si>
  <si>
    <t xml:space="preserve"> Total Sales</t>
  </si>
  <si>
    <t>January</t>
  </si>
  <si>
    <t>February</t>
  </si>
  <si>
    <t>March</t>
  </si>
  <si>
    <t>April</t>
  </si>
  <si>
    <t>May</t>
  </si>
  <si>
    <t>June</t>
  </si>
  <si>
    <t>Avg Sales</t>
  </si>
  <si>
    <t>Total_Sales</t>
  </si>
  <si>
    <t>Month</t>
  </si>
  <si>
    <t>Price</t>
  </si>
  <si>
    <t xml:space="preserve">Xlookup </t>
  </si>
  <si>
    <t>Xlookup with Iferror</t>
  </si>
  <si>
    <t>PC</t>
  </si>
  <si>
    <t>Index and Match</t>
  </si>
  <si>
    <t>Product  Dropdown</t>
  </si>
  <si>
    <t>Salespersons</t>
  </si>
  <si>
    <t>Rank</t>
  </si>
  <si>
    <t>Total__Sales</t>
  </si>
  <si>
    <t>Average of Unit_Price</t>
  </si>
  <si>
    <t>Sum of Quantity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</si>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</sst>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K&quot;"/>
    <numFmt numFmtId="165" formatCode="0.0,,&quot;M&quot;"/>
  </numFmts>
  <fonts count="8" x14ac:knownFonts="1">
    <font>
      <sz val="11"/>
      <color theme="1"/>
      <name val="Calibri"/>
      <family val="2"/>
      <scheme val="minor"/>
    </font>
    <font>
      <b/>
      <sz val="11"/>
      <name val="Calibri"/>
    </font>
    <font>
      <b/>
      <sz val="11"/>
      <color theme="1"/>
      <name val="Calibri"/>
      <family val="2"/>
      <scheme val="minor"/>
    </font>
    <font>
      <sz val="14"/>
      <color theme="1"/>
      <name val="Calibri"/>
      <family val="2"/>
      <scheme val="minor"/>
    </font>
    <font>
      <b/>
      <sz val="11"/>
      <name val="Calibri"/>
      <family val="2"/>
    </font>
    <font>
      <sz val="12"/>
      <color theme="0"/>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applyNumberForma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3" borderId="0" xfId="0" applyFont="1" applyFill="1" applyAlignment="1">
      <alignment horizontal="center"/>
    </xf>
    <xf numFmtId="0" fontId="2" fillId="0" borderId="0" xfId="0" applyNumberFormat="1" applyFont="1" applyAlignment="1">
      <alignment horizontal="center"/>
    </xf>
    <xf numFmtId="0" fontId="0" fillId="2" borderId="0" xfId="0" applyFill="1"/>
    <xf numFmtId="0" fontId="0" fillId="0" borderId="0" xfId="0" applyAlignment="1">
      <alignment horizontal="center"/>
    </xf>
    <xf numFmtId="0" fontId="0" fillId="0" borderId="0" xfId="0" applyNumberFormat="1" applyAlignment="1">
      <alignment horizontal="center"/>
    </xf>
    <xf numFmtId="0" fontId="6" fillId="0" borderId="0" xfId="0" applyFont="1" applyAlignment="1">
      <alignment horizontal="left"/>
    </xf>
    <xf numFmtId="0" fontId="6" fillId="0" borderId="0" xfId="0" applyFont="1" applyAlignment="1">
      <alignment horizontal="center"/>
    </xf>
    <xf numFmtId="0" fontId="7" fillId="0" borderId="0" xfId="0" pivotButton="1" applyFont="1" applyAlignment="1">
      <alignment horizontal="left"/>
    </xf>
    <xf numFmtId="0" fontId="7" fillId="0" borderId="0" xfId="0" applyFont="1" applyAlignment="1">
      <alignment horizontal="center"/>
    </xf>
    <xf numFmtId="1" fontId="0" fillId="0" borderId="0" xfId="0" applyNumberFormat="1"/>
    <xf numFmtId="164" fontId="0" fillId="0" borderId="0" xfId="0" applyNumberFormat="1"/>
    <xf numFmtId="165" fontId="0" fillId="0" borderId="0" xfId="0" applyNumberFormat="1"/>
    <xf numFmtId="165" fontId="0" fillId="0" borderId="0" xfId="0" applyNumberFormat="1" applyAlignment="1">
      <alignment horizontal="center"/>
    </xf>
    <xf numFmtId="164" fontId="0" fillId="0" borderId="0" xfId="0" applyNumberFormat="1" applyAlignment="1">
      <alignment horizontal="center"/>
    </xf>
    <xf numFmtId="0" fontId="0" fillId="2" borderId="0" xfId="0" applyFill="1" applyAlignment="1">
      <alignment horizontal="center"/>
    </xf>
  </cellXfs>
  <cellStyles count="1">
    <cellStyle name="Normal" xfId="0" builtinId="0"/>
  </cellStyles>
  <dxfs count="73">
    <dxf>
      <numFmt numFmtId="165" formatCode="0.0,,&quot;M&quot;"/>
    </dxf>
    <dxf>
      <numFmt numFmtId="165" formatCode="0.0,,&quot;M&quot;"/>
    </dxf>
    <dxf>
      <numFmt numFmtId="1" formatCode="0"/>
    </dxf>
    <dxf>
      <numFmt numFmtId="165" formatCode="0.0,,&quot;M&quot;"/>
    </dxf>
    <dxf>
      <numFmt numFmtId="164" formatCode="0.0,&quot;K&quot;"/>
    </dxf>
    <dxf>
      <numFmt numFmtId="165" formatCode="0.0,,&quot;M&quot;"/>
    </dxf>
    <dxf>
      <numFmt numFmtId="1" formatCode="0"/>
    </dxf>
    <dxf>
      <numFmt numFmtId="165" formatCode="0.0,,&quot;M&quot;"/>
    </dxf>
    <dxf>
      <font>
        <sz val="12"/>
      </font>
    </dxf>
    <dxf>
      <font>
        <sz val="12"/>
      </font>
    </dxf>
    <dxf>
      <alignment horizontal="center"/>
    </dxf>
    <dxf>
      <alignment horizontal="left"/>
    </dxf>
    <dxf>
      <alignment horizontal="center"/>
    </dxf>
    <dxf>
      <alignment horizontal="center"/>
    </dxf>
    <dxf>
      <alignment horizontal="center"/>
    </dxf>
    <dxf>
      <numFmt numFmtId="165" formatCode="0.0,,&quot;M&quot;"/>
    </dxf>
    <dxf>
      <fill>
        <patternFill patternType="solid">
          <bgColor theme="0"/>
        </patternFill>
      </fill>
    </dxf>
    <dxf>
      <fill>
        <patternFill patternType="solid">
          <bgColor theme="0"/>
        </patternFill>
      </fill>
    </dxf>
    <dxf>
      <alignment horizontal="center"/>
    </dxf>
    <dxf>
      <numFmt numFmtId="165" formatCode="0.0,,&quot;M&quot;"/>
    </dxf>
    <dxf>
      <fill>
        <patternFill patternType="solid">
          <bgColor theme="0"/>
        </patternFill>
      </fill>
    </dxf>
    <dxf>
      <fill>
        <patternFill patternType="solid">
          <bgColor theme="0"/>
        </patternFill>
      </fill>
    </dxf>
    <dxf>
      <alignment horizontal="center"/>
    </dxf>
    <dxf>
      <alignment horizontal="center"/>
    </dxf>
    <dxf>
      <numFmt numFmtId="165" formatCode="0.0,,&quot;M&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alignment horizontal="center"/>
    </dxf>
    <dxf>
      <numFmt numFmtId="165" formatCode="0.0,,&quot;M&quot;"/>
    </dxf>
    <dxf>
      <fill>
        <patternFill patternType="solid">
          <bgColor theme="0"/>
        </patternFill>
      </fill>
    </dxf>
    <dxf>
      <fill>
        <patternFill patternType="solid">
          <bgColor theme="0"/>
        </patternFill>
      </fill>
    </dxf>
    <dxf>
      <alignment horizontal="center"/>
    </dxf>
    <dxf>
      <alignment horizontal="center"/>
    </dxf>
    <dxf>
      <numFmt numFmtId="165" formatCode="0.0,,&quot;M&quo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0.0,,&quot;M&quot;"/>
    </dxf>
    <dxf>
      <numFmt numFmtId="165" formatCode="0.0,,&quot;M&quot;"/>
    </dxf>
    <dxf>
      <fill>
        <patternFill>
          <fgColor indexed="64"/>
          <bgColor theme="8" tint="-0.249977111117893"/>
        </patternFill>
      </fill>
    </dxf>
    <dxf>
      <alignment horizontal="center"/>
    </dxf>
    <dxf>
      <font>
        <b/>
      </font>
    </dxf>
    <dxf>
      <alignment horizontal="center"/>
    </dxf>
    <dxf>
      <font>
        <sz val="12"/>
      </font>
    </dxf>
    <dxf>
      <font>
        <color theme="0"/>
      </font>
      <fill>
        <patternFill>
          <fgColor theme="8" tint="-0.249977111117893"/>
        </patternFill>
      </fill>
    </dxf>
    <dxf>
      <fill>
        <patternFill patternType="solid">
          <bgColor theme="3" tint="0.39997558519241921"/>
        </patternFill>
      </fill>
    </dxf>
    <dxf>
      <numFmt numFmtId="165" formatCode="0.0,,&quot;M&quot;"/>
    </dxf>
    <dxf>
      <alignment horizontal="center"/>
    </dxf>
    <dxf>
      <font>
        <b/>
      </font>
    </dxf>
    <dxf>
      <alignment horizontal="center"/>
    </dxf>
    <dxf>
      <font>
        <sz val="12"/>
      </font>
    </dxf>
    <dxf>
      <fill>
        <patternFill>
          <bgColor theme="8" tint="-0.249977111117893"/>
        </patternFill>
      </fill>
    </dxf>
    <dxf>
      <font>
        <color theme="0"/>
      </font>
    </dxf>
    <dxf>
      <fill>
        <patternFill patternType="solid">
          <bgColor theme="3" tint="0.39997558519241921"/>
        </patternFill>
      </fill>
    </dxf>
    <dxf>
      <numFmt numFmtId="165" formatCode="0.0,,&quot;M&quot;"/>
    </dxf>
    <dxf>
      <fill>
        <patternFill>
          <fgColor indexed="64"/>
          <bgColor theme="8" tint="-0.249977111117893"/>
        </patternFill>
      </fill>
    </dxf>
    <dxf>
      <alignment horizontal="center"/>
    </dxf>
    <dxf>
      <font>
        <b/>
      </font>
    </dxf>
    <dxf>
      <alignment horizontal="center"/>
    </dxf>
    <dxf>
      <font>
        <sz val="12"/>
      </font>
    </dxf>
    <dxf>
      <font>
        <color theme="0"/>
      </font>
      <fill>
        <patternFill>
          <fgColor theme="8" tint="-0.249977111117893"/>
        </patternFill>
      </fill>
    </dxf>
    <dxf>
      <fill>
        <patternFill patternType="solid">
          <bgColor theme="3" tint="0.39997558519241921"/>
        </patternFill>
      </fill>
    </dxf>
    <dxf>
      <fill>
        <patternFill>
          <bgColor theme="5" tint="0.39994506668294322"/>
        </patternFill>
      </fill>
    </dxf>
    <dxf>
      <font>
        <b val="0"/>
        <i val="0"/>
        <color theme="1"/>
        <name val="Bahnschrift Condensed"/>
        <family val="2"/>
        <scheme val="none"/>
      </font>
    </dxf>
    <dxf>
      <fill>
        <patternFill patternType="none">
          <bgColor auto="1"/>
        </patternFill>
      </fill>
    </dxf>
    <dxf>
      <border diagonalUp="0" diagonalDown="0">
        <left/>
        <right/>
        <top/>
        <bottom/>
        <vertical/>
        <horizontal/>
      </border>
    </dxf>
    <dxf>
      <fill>
        <patternFill>
          <bgColor theme="0"/>
        </patternFill>
      </fill>
    </dxf>
    <dxf>
      <fill>
        <patternFill>
          <bgColor theme="3" tint="0.79998168889431442"/>
        </patternFill>
      </fill>
    </dxf>
    <dxf>
      <fill>
        <patternFill>
          <bgColor theme="0"/>
        </patternFill>
      </fill>
    </dxf>
  </dxfs>
  <tableStyles count="9" defaultTableStyle="TableStyleMedium9" defaultPivotStyle="PivotStyleLight16">
    <tableStyle name="Slicer Style 1" pivot="0" table="0" count="1" xr9:uid="{25CFCC1A-571D-4399-A2EA-4DF7CE3EC80B}">
      <tableStyleElement type="wholeTable" dxfId="72"/>
    </tableStyle>
    <tableStyle name="Slicer Style 2" pivot="0" table="0" count="1" xr9:uid="{7C0B51D9-DAC0-40BB-B755-E3ADF470E473}">
      <tableStyleElement type="wholeTable" dxfId="71"/>
    </tableStyle>
    <tableStyle name="Slicer Style 3" pivot="0" table="0" count="1" xr9:uid="{3053408D-3304-4D73-95D4-9F5EE5EBFE75}"/>
    <tableStyle name="Slicer Style 4" pivot="0" table="0" count="1" xr9:uid="{8E9F2F2E-7F77-4329-8709-1DC1A7906756}"/>
    <tableStyle name="Slicer Style 5" pivot="0" table="0" count="1" xr9:uid="{6F0C7B52-925E-4F5C-9B82-FA7C50921002}"/>
    <tableStyle name="Slicer Style 6" pivot="0" table="0" count="1" xr9:uid="{CD9AA7EA-5318-4854-B41C-A77538992E1A}">
      <tableStyleElement type="wholeTable" dxfId="70"/>
    </tableStyle>
    <tableStyle name="Slicer Style 7" pivot="0" table="0" count="1" xr9:uid="{D3F27D83-7FFA-4D18-87A9-AAE1353EA4B4}">
      <tableStyleElement type="wholeTable" dxfId="69"/>
    </tableStyle>
    <tableStyle name="Slicer Style 8" pivot="0" table="0" count="1" xr9:uid="{69ADCD8F-E506-4D73-9339-D504AD44A2C1}">
      <tableStyleElement type="wholeTable" dxfId="68"/>
    </tableStyle>
    <tableStyle name="Slicer Style 9" pivot="0" table="0" count="1" xr9:uid="{8ABED073-0C5A-4E2D-9149-5FE07B7BF3B3}">
      <tableStyleElement type="headerRow" dxfId="67"/>
    </tableStyle>
  </tableStyles>
  <colors>
    <mruColors>
      <color rgb="FFFFA54B"/>
      <color rgb="FF5F5F5F"/>
      <color rgb="FF969696"/>
      <color rgb="FFFF9933"/>
      <color rgb="FFFFC78F"/>
      <color rgb="FFFFA953"/>
      <color rgb="FFFFBC79"/>
    </mruColors>
  </colors>
  <extLst>
    <ext xmlns:x14="http://schemas.microsoft.com/office/spreadsheetml/2009/9/main" uri="{46F421CA-312F-682f-3DD2-61675219B42D}">
      <x14:dxfs count="3">
        <dxf>
          <fill>
            <patternFill>
              <bgColor theme="3" tint="0.79998168889431442"/>
            </patternFill>
          </fill>
        </dxf>
        <dxf>
          <fill>
            <patternFill>
              <bgColor theme="3" tint="0.79998168889431442"/>
            </patternFill>
          </fill>
        </dxf>
        <dxf>
          <fill>
            <patternFill>
              <bgColor theme="3"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UnselectedItemWithData" dxfId="2"/>
          </x14:slicerStyleElements>
        </x14:slicerStyle>
        <x14:slicerStyle name="Slicer Style 4">
          <x14:slicerStyleElements>
            <x14:slicerStyleElement type="unselectedItemWithNoData" dxfId="1"/>
          </x14:slicerStyleElements>
        </x14:slicerStyle>
        <x14:slicerStyle name="Slicer Style 5">
          <x14:slicerStyleElements>
            <x14:slicerStyleElement type="hoveredUnselectedItemWithNoData" dxfId="0"/>
          </x14:slicerStyleElements>
        </x14:slicerStyle>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analysis.xlsx]Sales_Data!PivotTable5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Sales_Data!$AA$106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Sales_Data!$Z$107:$Z$114</c:f>
              <c:strCache>
                <c:ptCount val="7"/>
                <c:pt idx="0">
                  <c:v>Chair</c:v>
                </c:pt>
                <c:pt idx="1">
                  <c:v>Desk</c:v>
                </c:pt>
                <c:pt idx="2">
                  <c:v>Laptop</c:v>
                </c:pt>
                <c:pt idx="3">
                  <c:v>Mobile</c:v>
                </c:pt>
                <c:pt idx="4">
                  <c:v>Printer</c:v>
                </c:pt>
                <c:pt idx="5">
                  <c:v>Sofa</c:v>
                </c:pt>
                <c:pt idx="6">
                  <c:v>Tablet</c:v>
                </c:pt>
              </c:strCache>
            </c:strRef>
          </c:cat>
          <c:val>
            <c:numRef>
              <c:f>Sales_Data!$AA$107:$AA$114</c:f>
              <c:numCache>
                <c:formatCode>0.0,,"M"</c:formatCode>
                <c:ptCount val="7"/>
                <c:pt idx="0">
                  <c:v>713888</c:v>
                </c:pt>
                <c:pt idx="1">
                  <c:v>1367437</c:v>
                </c:pt>
                <c:pt idx="2">
                  <c:v>13633591</c:v>
                </c:pt>
                <c:pt idx="3">
                  <c:v>4036049</c:v>
                </c:pt>
                <c:pt idx="4">
                  <c:v>3474922</c:v>
                </c:pt>
                <c:pt idx="5">
                  <c:v>5835319</c:v>
                </c:pt>
                <c:pt idx="6">
                  <c:v>6752074</c:v>
                </c:pt>
              </c:numCache>
            </c:numRef>
          </c:val>
          <c:extLst>
            <c:ext xmlns:c16="http://schemas.microsoft.com/office/drawing/2014/chart" uri="{C3380CC4-5D6E-409C-BE32-E72D297353CC}">
              <c16:uniqueId val="{00000000-677C-49A4-8B4D-24DDA543A8FD}"/>
            </c:ext>
          </c:extLst>
        </c:ser>
        <c:dLbls>
          <c:dLblPos val="outEnd"/>
          <c:showLegendKey val="0"/>
          <c:showVal val="1"/>
          <c:showCatName val="0"/>
          <c:showSerName val="0"/>
          <c:showPercent val="0"/>
          <c:showBubbleSize val="0"/>
        </c:dLbls>
        <c:gapWidth val="182"/>
        <c:axId val="1763705168"/>
        <c:axId val="1763708080"/>
      </c:barChart>
      <c:catAx>
        <c:axId val="1763705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708080"/>
        <c:crosses val="autoZero"/>
        <c:auto val="1"/>
        <c:lblAlgn val="ctr"/>
        <c:lblOffset val="100"/>
        <c:noMultiLvlLbl val="0"/>
      </c:catAx>
      <c:valAx>
        <c:axId val="1763708080"/>
        <c:scaling>
          <c:orientation val="minMax"/>
        </c:scaling>
        <c:delete val="1"/>
        <c:axPos val="b"/>
        <c:majorGridlines>
          <c:spPr>
            <a:ln w="9525" cap="flat" cmpd="sng" algn="ctr">
              <a:solidFill>
                <a:schemeClr val="tx1">
                  <a:lumMod val="15000"/>
                  <a:lumOff val="85000"/>
                </a:schemeClr>
              </a:solidFill>
              <a:round/>
            </a:ln>
            <a:effectLst/>
          </c:spPr>
        </c:majorGridlines>
        <c:numFmt formatCode="0.0,,&quot;M&quot;" sourceLinked="1"/>
        <c:majorTickMark val="out"/>
        <c:minorTickMark val="none"/>
        <c:tickLblPos val="nextTo"/>
        <c:crossAx val="176370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analysis.xlsx]Sales_Data!PivotTable3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Sales_Data!$U$82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Sales_Data!$T$83:$T$89</c:f>
              <c:strCache>
                <c:ptCount val="6"/>
                <c:pt idx="0">
                  <c:v>January</c:v>
                </c:pt>
                <c:pt idx="1">
                  <c:v>February</c:v>
                </c:pt>
                <c:pt idx="2">
                  <c:v>March</c:v>
                </c:pt>
                <c:pt idx="3">
                  <c:v>April</c:v>
                </c:pt>
                <c:pt idx="4">
                  <c:v>May</c:v>
                </c:pt>
                <c:pt idx="5">
                  <c:v>June</c:v>
                </c:pt>
              </c:strCache>
            </c:strRef>
          </c:cat>
          <c:val>
            <c:numRef>
              <c:f>Sales_Data!$U$83:$U$89</c:f>
              <c:numCache>
                <c:formatCode>0.0,,"M"</c:formatCode>
                <c:ptCount val="6"/>
                <c:pt idx="0">
                  <c:v>5952692</c:v>
                </c:pt>
                <c:pt idx="1">
                  <c:v>5248903</c:v>
                </c:pt>
                <c:pt idx="2">
                  <c:v>5977072</c:v>
                </c:pt>
                <c:pt idx="3">
                  <c:v>5774225</c:v>
                </c:pt>
                <c:pt idx="4">
                  <c:v>5697725</c:v>
                </c:pt>
                <c:pt idx="5">
                  <c:v>7162663</c:v>
                </c:pt>
              </c:numCache>
            </c:numRef>
          </c:val>
          <c:smooth val="0"/>
          <c:extLst>
            <c:ext xmlns:c16="http://schemas.microsoft.com/office/drawing/2014/chart" uri="{C3380CC4-5D6E-409C-BE32-E72D297353CC}">
              <c16:uniqueId val="{00000000-6AA9-4857-9354-27A6372FB9E2}"/>
            </c:ext>
          </c:extLst>
        </c:ser>
        <c:dLbls>
          <c:dLblPos val="t"/>
          <c:showLegendKey val="0"/>
          <c:showVal val="1"/>
          <c:showCatName val="0"/>
          <c:showSerName val="0"/>
          <c:showPercent val="0"/>
          <c:showBubbleSize val="0"/>
        </c:dLbls>
        <c:smooth val="0"/>
        <c:axId val="1659004832"/>
        <c:axId val="1659006080"/>
      </c:lineChart>
      <c:catAx>
        <c:axId val="165900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06080"/>
        <c:crosses val="autoZero"/>
        <c:auto val="1"/>
        <c:lblAlgn val="ctr"/>
        <c:lblOffset val="100"/>
        <c:noMultiLvlLbl val="0"/>
      </c:catAx>
      <c:valAx>
        <c:axId val="16590060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04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Pivoting!$F$11</c:f>
              <c:strCache>
                <c:ptCount val="1"/>
                <c:pt idx="0">
                  <c:v>Total</c:v>
                </c:pt>
              </c:strCache>
            </c:strRef>
          </c:tx>
          <c:spPr>
            <a:solidFill>
              <a:schemeClr val="accent1"/>
            </a:solidFill>
            <a:ln>
              <a:noFill/>
            </a:ln>
            <a:effectLst/>
          </c:spPr>
          <c:invertIfNegative val="0"/>
          <c:cat>
            <c:strRef>
              <c:f>Pivoting!$E$12:$E$19</c:f>
              <c:strCache>
                <c:ptCount val="7"/>
                <c:pt idx="0">
                  <c:v>Chair</c:v>
                </c:pt>
                <c:pt idx="1">
                  <c:v>Desk</c:v>
                </c:pt>
                <c:pt idx="2">
                  <c:v>Laptop</c:v>
                </c:pt>
                <c:pt idx="3">
                  <c:v>Mobile</c:v>
                </c:pt>
                <c:pt idx="4">
                  <c:v>Printer</c:v>
                </c:pt>
                <c:pt idx="5">
                  <c:v>Sofa</c:v>
                </c:pt>
                <c:pt idx="6">
                  <c:v>Tablet</c:v>
                </c:pt>
              </c:strCache>
            </c:strRef>
          </c:cat>
          <c:val>
            <c:numRef>
              <c:f>Pivoting!$F$12:$F$19</c:f>
              <c:numCache>
                <c:formatCode>0</c:formatCode>
                <c:ptCount val="7"/>
                <c:pt idx="0">
                  <c:v>280</c:v>
                </c:pt>
                <c:pt idx="1">
                  <c:v>176</c:v>
                </c:pt>
                <c:pt idx="2">
                  <c:v>271</c:v>
                </c:pt>
                <c:pt idx="3">
                  <c:v>201</c:v>
                </c:pt>
                <c:pt idx="4">
                  <c:v>232</c:v>
                </c:pt>
                <c:pt idx="5">
                  <c:v>229</c:v>
                </c:pt>
                <c:pt idx="6">
                  <c:v>221</c:v>
                </c:pt>
              </c:numCache>
            </c:numRef>
          </c:val>
          <c:extLst>
            <c:ext xmlns:c16="http://schemas.microsoft.com/office/drawing/2014/chart" uri="{C3380CC4-5D6E-409C-BE32-E72D297353CC}">
              <c16:uniqueId val="{00000000-C95D-4D38-933F-69E53DC9FF0C}"/>
            </c:ext>
          </c:extLst>
        </c:ser>
        <c:dLbls>
          <c:showLegendKey val="0"/>
          <c:showVal val="0"/>
          <c:showCatName val="0"/>
          <c:showSerName val="0"/>
          <c:showPercent val="0"/>
          <c:showBubbleSize val="0"/>
        </c:dLbls>
        <c:gapWidth val="219"/>
        <c:overlap val="-27"/>
        <c:axId val="1058454992"/>
        <c:axId val="1058452496"/>
      </c:barChart>
      <c:catAx>
        <c:axId val="105845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52496"/>
        <c:crosses val="autoZero"/>
        <c:auto val="1"/>
        <c:lblAlgn val="ctr"/>
        <c:lblOffset val="100"/>
        <c:noMultiLvlLbl val="0"/>
      </c:catAx>
      <c:valAx>
        <c:axId val="105845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Pivoting!$I$48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3-46A3-B1C4-94314446F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3-46A3-B1C4-94314446FC06}"/>
              </c:ext>
            </c:extLst>
          </c:dPt>
          <c:cat>
            <c:strRef>
              <c:f>Pivoting!$H$49:$H$51</c:f>
              <c:strCache>
                <c:ptCount val="2"/>
                <c:pt idx="0">
                  <c:v>Electronics</c:v>
                </c:pt>
                <c:pt idx="1">
                  <c:v>Furniture</c:v>
                </c:pt>
              </c:strCache>
            </c:strRef>
          </c:cat>
          <c:val>
            <c:numRef>
              <c:f>Pivoting!$I$49:$I$51</c:f>
              <c:numCache>
                <c:formatCode>0</c:formatCode>
                <c:ptCount val="2"/>
                <c:pt idx="0">
                  <c:v>27896636</c:v>
                </c:pt>
                <c:pt idx="1">
                  <c:v>7916644</c:v>
                </c:pt>
              </c:numCache>
            </c:numRef>
          </c:val>
          <c:extLst>
            <c:ext xmlns:c16="http://schemas.microsoft.com/office/drawing/2014/chart" uri="{C3380CC4-5D6E-409C-BE32-E72D297353CC}">
              <c16:uniqueId val="{00000000-E721-4547-B6D9-3FD70B244C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analysis.xlsx]Pivoting!dash1</c:name>
    <c:fmtId val="4"/>
  </c:pivotSource>
  <c:chart>
    <c:title>
      <c:tx>
        <c:rich>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r>
              <a:rPr lang="en-US" sz="1400" b="1">
                <a:solidFill>
                  <a:schemeClr val="bg1"/>
                </a:solidFill>
              </a:rPr>
              <a:t>Total Sales By Region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noFill/>
          </a:ln>
          <a:effectLst/>
        </c:spPr>
      </c:pivotFmt>
      <c:pivotFmt>
        <c:idx val="8"/>
        <c:spPr>
          <a:solidFill>
            <a:schemeClr val="accent1"/>
          </a:solidFill>
          <a:ln w="19050">
            <a:noFill/>
          </a:ln>
          <a:effectLst/>
        </c:spPr>
      </c:pivotFmt>
      <c:pivotFmt>
        <c:idx val="9"/>
        <c:spPr>
          <a:solidFill>
            <a:schemeClr val="accent5">
              <a:lumMod val="75000"/>
            </a:schemeClr>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Pivoting!$C$2</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BD1A-48D9-B666-35A11A13C555}"/>
              </c:ext>
            </c:extLst>
          </c:dPt>
          <c:dPt>
            <c:idx val="1"/>
            <c:bubble3D val="0"/>
            <c:spPr>
              <a:solidFill>
                <a:schemeClr val="accent2"/>
              </a:solidFill>
              <a:ln w="19050">
                <a:noFill/>
              </a:ln>
              <a:effectLst/>
            </c:spPr>
            <c:extLst>
              <c:ext xmlns:c16="http://schemas.microsoft.com/office/drawing/2014/chart" uri="{C3380CC4-5D6E-409C-BE32-E72D297353CC}">
                <c16:uniqueId val="{00000003-BD1A-48D9-B666-35A11A13C555}"/>
              </c:ext>
            </c:extLst>
          </c:dPt>
          <c:dPt>
            <c:idx val="2"/>
            <c:bubble3D val="0"/>
            <c:spPr>
              <a:solidFill>
                <a:schemeClr val="accent5">
                  <a:lumMod val="75000"/>
                </a:schemeClr>
              </a:solidFill>
              <a:ln w="19050">
                <a:noFill/>
              </a:ln>
              <a:effectLst/>
            </c:spPr>
            <c:extLst>
              <c:ext xmlns:c16="http://schemas.microsoft.com/office/drawing/2014/chart" uri="{C3380CC4-5D6E-409C-BE32-E72D297353CC}">
                <c16:uniqueId val="{00000005-BD1A-48D9-B666-35A11A13C555}"/>
              </c:ext>
            </c:extLst>
          </c:dPt>
          <c:dPt>
            <c:idx val="3"/>
            <c:bubble3D val="0"/>
            <c:spPr>
              <a:solidFill>
                <a:schemeClr val="accent4"/>
              </a:solidFill>
              <a:ln w="19050">
                <a:noFill/>
              </a:ln>
              <a:effectLst/>
            </c:spPr>
            <c:extLst>
              <c:ext xmlns:c16="http://schemas.microsoft.com/office/drawing/2014/chart" uri="{C3380CC4-5D6E-409C-BE32-E72D297353CC}">
                <c16:uniqueId val="{00000007-BD1A-48D9-B666-35A11A13C555}"/>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Pivoting!$B$3:$B$7</c:f>
              <c:strCache>
                <c:ptCount val="4"/>
                <c:pt idx="0">
                  <c:v>East</c:v>
                </c:pt>
                <c:pt idx="1">
                  <c:v>North</c:v>
                </c:pt>
                <c:pt idx="2">
                  <c:v>South</c:v>
                </c:pt>
                <c:pt idx="3">
                  <c:v>West</c:v>
                </c:pt>
              </c:strCache>
            </c:strRef>
          </c:cat>
          <c:val>
            <c:numRef>
              <c:f>Pivoting!$C$3:$C$7</c:f>
              <c:numCache>
                <c:formatCode>0.0,,"M"</c:formatCode>
                <c:ptCount val="4"/>
                <c:pt idx="0">
                  <c:v>10044810</c:v>
                </c:pt>
                <c:pt idx="1">
                  <c:v>8259590</c:v>
                </c:pt>
                <c:pt idx="2">
                  <c:v>8790984</c:v>
                </c:pt>
                <c:pt idx="3">
                  <c:v>8717896</c:v>
                </c:pt>
              </c:numCache>
            </c:numRef>
          </c:val>
          <c:extLst>
            <c:ext xmlns:c16="http://schemas.microsoft.com/office/drawing/2014/chart" uri="{C3380CC4-5D6E-409C-BE32-E72D297353CC}">
              <c16:uniqueId val="{00000008-BD1A-48D9-B666-35A11A13C55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analysis.xlsx]Pivoting!dash2</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Sales By Products</a:t>
            </a:r>
          </a:p>
        </c:rich>
      </c:tx>
      <c:layout>
        <c:manualLayout>
          <c:xMode val="edge"/>
          <c:yMode val="edge"/>
          <c:x val="0.3124470234818551"/>
          <c:y val="4.56273946398389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Pivoting!$C$9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Pivoting!$B$10:$B$17</c:f>
              <c:strCache>
                <c:ptCount val="7"/>
                <c:pt idx="0">
                  <c:v>Chair</c:v>
                </c:pt>
                <c:pt idx="1">
                  <c:v>Desk</c:v>
                </c:pt>
                <c:pt idx="2">
                  <c:v>Laptop</c:v>
                </c:pt>
                <c:pt idx="3">
                  <c:v>Mobile</c:v>
                </c:pt>
                <c:pt idx="4">
                  <c:v>Printer</c:v>
                </c:pt>
                <c:pt idx="5">
                  <c:v>Sofa</c:v>
                </c:pt>
                <c:pt idx="6">
                  <c:v>Tablet</c:v>
                </c:pt>
              </c:strCache>
            </c:strRef>
          </c:cat>
          <c:val>
            <c:numRef>
              <c:f>Pivoting!$C$10:$C$17</c:f>
              <c:numCache>
                <c:formatCode>0.0,,"M"</c:formatCode>
                <c:ptCount val="7"/>
                <c:pt idx="0">
                  <c:v>713888</c:v>
                </c:pt>
                <c:pt idx="1">
                  <c:v>1367437</c:v>
                </c:pt>
                <c:pt idx="2">
                  <c:v>13633591</c:v>
                </c:pt>
                <c:pt idx="3">
                  <c:v>4036049</c:v>
                </c:pt>
                <c:pt idx="4">
                  <c:v>3474922</c:v>
                </c:pt>
                <c:pt idx="5">
                  <c:v>5835319</c:v>
                </c:pt>
                <c:pt idx="6">
                  <c:v>6752074</c:v>
                </c:pt>
              </c:numCache>
            </c:numRef>
          </c:val>
          <c:extLst>
            <c:ext xmlns:c16="http://schemas.microsoft.com/office/drawing/2014/chart" uri="{C3380CC4-5D6E-409C-BE32-E72D297353CC}">
              <c16:uniqueId val="{00000000-2A1B-43E8-8E29-5331B6C22D8C}"/>
            </c:ext>
          </c:extLst>
        </c:ser>
        <c:dLbls>
          <c:dLblPos val="outEnd"/>
          <c:showLegendKey val="0"/>
          <c:showVal val="1"/>
          <c:showCatName val="0"/>
          <c:showSerName val="0"/>
          <c:showPercent val="0"/>
          <c:showBubbleSize val="0"/>
        </c:dLbls>
        <c:gapWidth val="150"/>
        <c:overlap val="-27"/>
        <c:axId val="1667774688"/>
        <c:axId val="1667775104"/>
      </c:barChart>
      <c:catAx>
        <c:axId val="16677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67775104"/>
        <c:crosses val="autoZero"/>
        <c:auto val="1"/>
        <c:lblAlgn val="ctr"/>
        <c:lblOffset val="100"/>
        <c:noMultiLvlLbl val="0"/>
      </c:catAx>
      <c:valAx>
        <c:axId val="1667775104"/>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6777468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noFill/>
      <a:round/>
    </a:ln>
    <a:effectLst>
      <a:glow>
        <a:schemeClr val="accent1">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analysis.xlsx]Pivoting!dash4</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a:t>
            </a:r>
            <a:r>
              <a:rPr lang="en-US" b="1" baseline="0">
                <a:solidFill>
                  <a:schemeClr val="bg1"/>
                </a:solidFill>
              </a:rPr>
              <a:t> Sales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accent4">
                <a:lumMod val="50000"/>
              </a:schemeClr>
            </a:solidFill>
            <a:round/>
            <a:tailEnd type="none"/>
          </a:ln>
          <a:effectLst/>
        </c:spPr>
        <c:marker>
          <c:symbol val="diamond"/>
          <c:size val="5"/>
          <c:spPr>
            <a:solidFill>
              <a:schemeClr val="bg1">
                <a:alpha val="1000"/>
              </a:schemeClr>
            </a:solidFill>
            <a:ln w="25400" cap="sq">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Pivoting!$F$2</c:f>
              <c:strCache>
                <c:ptCount val="1"/>
                <c:pt idx="0">
                  <c:v>Total</c:v>
                </c:pt>
              </c:strCache>
            </c:strRef>
          </c:tx>
          <c:spPr>
            <a:ln w="41275" cap="rnd">
              <a:solidFill>
                <a:schemeClr val="accent4">
                  <a:lumMod val="50000"/>
                </a:schemeClr>
              </a:solidFill>
              <a:round/>
              <a:tailEnd type="none"/>
            </a:ln>
            <a:effectLst/>
          </c:spPr>
          <c:marker>
            <c:symbol val="diamond"/>
            <c:size val="5"/>
            <c:spPr>
              <a:solidFill>
                <a:schemeClr val="bg1">
                  <a:alpha val="1000"/>
                </a:schemeClr>
              </a:solidFill>
              <a:ln w="25400" cap="sq">
                <a:solidFill>
                  <a:schemeClr val="accent4">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Pivoting!$E$3:$E$9</c:f>
              <c:strCache>
                <c:ptCount val="6"/>
                <c:pt idx="0">
                  <c:v>January</c:v>
                </c:pt>
                <c:pt idx="1">
                  <c:v>February</c:v>
                </c:pt>
                <c:pt idx="2">
                  <c:v>March</c:v>
                </c:pt>
                <c:pt idx="3">
                  <c:v>April</c:v>
                </c:pt>
                <c:pt idx="4">
                  <c:v>May</c:v>
                </c:pt>
                <c:pt idx="5">
                  <c:v>June</c:v>
                </c:pt>
              </c:strCache>
            </c:strRef>
          </c:cat>
          <c:val>
            <c:numRef>
              <c:f>Pivoting!$F$3:$F$9</c:f>
              <c:numCache>
                <c:formatCode>0.0,,"M"</c:formatCode>
                <c:ptCount val="6"/>
                <c:pt idx="0">
                  <c:v>5952692</c:v>
                </c:pt>
                <c:pt idx="1">
                  <c:v>5248903</c:v>
                </c:pt>
                <c:pt idx="2">
                  <c:v>5977072</c:v>
                </c:pt>
                <c:pt idx="3">
                  <c:v>5774225</c:v>
                </c:pt>
                <c:pt idx="4">
                  <c:v>5697725</c:v>
                </c:pt>
                <c:pt idx="5">
                  <c:v>7162663</c:v>
                </c:pt>
              </c:numCache>
            </c:numRef>
          </c:val>
          <c:smooth val="0"/>
          <c:extLst>
            <c:ext xmlns:c16="http://schemas.microsoft.com/office/drawing/2014/chart" uri="{C3380CC4-5D6E-409C-BE32-E72D297353CC}">
              <c16:uniqueId val="{00000000-DD72-4EA9-8633-0909F56039A3}"/>
            </c:ext>
          </c:extLst>
        </c:ser>
        <c:dLbls>
          <c:showLegendKey val="0"/>
          <c:showVal val="0"/>
          <c:showCatName val="0"/>
          <c:showSerName val="0"/>
          <c:showPercent val="0"/>
          <c:showBubbleSize val="0"/>
        </c:dLbls>
        <c:marker val="1"/>
        <c:smooth val="0"/>
        <c:axId val="1122523040"/>
        <c:axId val="1122521792"/>
      </c:lineChart>
      <c:catAx>
        <c:axId val="112252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2521792"/>
        <c:crosses val="autoZero"/>
        <c:auto val="1"/>
        <c:lblAlgn val="ctr"/>
        <c:lblOffset val="100"/>
        <c:noMultiLvlLbl val="0"/>
      </c:catAx>
      <c:valAx>
        <c:axId val="1122521792"/>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22523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Avg</a:t>
            </a:r>
            <a:r>
              <a:rPr lang="en-US" b="1" baseline="0">
                <a:solidFill>
                  <a:schemeClr val="bg1"/>
                </a:solidFill>
              </a:rPr>
              <a:t> Unit Price By Products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Pivoting!$C$19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Pivoting!$B$20:$B$27</c:f>
              <c:strCache>
                <c:ptCount val="7"/>
                <c:pt idx="0">
                  <c:v>Chair</c:v>
                </c:pt>
                <c:pt idx="1">
                  <c:v>Desk</c:v>
                </c:pt>
                <c:pt idx="2">
                  <c:v>Laptop</c:v>
                </c:pt>
                <c:pt idx="3">
                  <c:v>Mobile</c:v>
                </c:pt>
                <c:pt idx="4">
                  <c:v>Printer</c:v>
                </c:pt>
                <c:pt idx="5">
                  <c:v>Sofa</c:v>
                </c:pt>
                <c:pt idx="6">
                  <c:v>Tablet</c:v>
                </c:pt>
              </c:strCache>
            </c:strRef>
          </c:cat>
          <c:val>
            <c:numRef>
              <c:f>Pivoting!$C$20:$C$27</c:f>
              <c:numCache>
                <c:formatCode>0.0,"K"</c:formatCode>
                <c:ptCount val="7"/>
                <c:pt idx="0">
                  <c:v>2343.3617021276596</c:v>
                </c:pt>
                <c:pt idx="1">
                  <c:v>7658.25</c:v>
                </c:pt>
                <c:pt idx="2">
                  <c:v>50413.5625</c:v>
                </c:pt>
                <c:pt idx="3">
                  <c:v>19979.224999999999</c:v>
                </c:pt>
                <c:pt idx="4">
                  <c:v>15007.930232558139</c:v>
                </c:pt>
                <c:pt idx="5">
                  <c:v>25311.81395348837</c:v>
                </c:pt>
                <c:pt idx="6">
                  <c:v>30437.39534883721</c:v>
                </c:pt>
              </c:numCache>
            </c:numRef>
          </c:val>
          <c:extLst>
            <c:ext xmlns:c16="http://schemas.microsoft.com/office/drawing/2014/chart" uri="{C3380CC4-5D6E-409C-BE32-E72D297353CC}">
              <c16:uniqueId val="{00000000-F11B-45B0-8D6B-C36BBE6B7CAB}"/>
            </c:ext>
          </c:extLst>
        </c:ser>
        <c:dLbls>
          <c:showLegendKey val="0"/>
          <c:showVal val="0"/>
          <c:showCatName val="0"/>
          <c:showSerName val="0"/>
          <c:showPercent val="0"/>
          <c:showBubbleSize val="0"/>
        </c:dLbls>
        <c:gapWidth val="130"/>
        <c:axId val="1667776352"/>
        <c:axId val="1673887168"/>
      </c:barChart>
      <c:catAx>
        <c:axId val="166777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673887168"/>
        <c:crosses val="autoZero"/>
        <c:auto val="1"/>
        <c:lblAlgn val="ctr"/>
        <c:lblOffset val="100"/>
        <c:noMultiLvlLbl val="0"/>
      </c:catAx>
      <c:valAx>
        <c:axId val="1673887168"/>
        <c:scaling>
          <c:orientation val="minMax"/>
        </c:scaling>
        <c:delete val="1"/>
        <c:axPos val="b"/>
        <c:numFmt formatCode="0.0,&quot;K&quot;" sourceLinked="1"/>
        <c:majorTickMark val="none"/>
        <c:minorTickMark val="none"/>
        <c:tickLblPos val="nextTo"/>
        <c:crossAx val="166777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analysis.xlsx]Pivoting!dash5</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Quantity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Pivoting!$F$11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Pivoting!$E$12:$E$19</c:f>
              <c:strCache>
                <c:ptCount val="7"/>
                <c:pt idx="0">
                  <c:v>Chair</c:v>
                </c:pt>
                <c:pt idx="1">
                  <c:v>Desk</c:v>
                </c:pt>
                <c:pt idx="2">
                  <c:v>Laptop</c:v>
                </c:pt>
                <c:pt idx="3">
                  <c:v>Mobile</c:v>
                </c:pt>
                <c:pt idx="4">
                  <c:v>Printer</c:v>
                </c:pt>
                <c:pt idx="5">
                  <c:v>Sofa</c:v>
                </c:pt>
                <c:pt idx="6">
                  <c:v>Tablet</c:v>
                </c:pt>
              </c:strCache>
            </c:strRef>
          </c:cat>
          <c:val>
            <c:numRef>
              <c:f>Pivoting!$F$12:$F$19</c:f>
              <c:numCache>
                <c:formatCode>0</c:formatCode>
                <c:ptCount val="7"/>
                <c:pt idx="0">
                  <c:v>280</c:v>
                </c:pt>
                <c:pt idx="1">
                  <c:v>176</c:v>
                </c:pt>
                <c:pt idx="2">
                  <c:v>271</c:v>
                </c:pt>
                <c:pt idx="3">
                  <c:v>201</c:v>
                </c:pt>
                <c:pt idx="4">
                  <c:v>232</c:v>
                </c:pt>
                <c:pt idx="5">
                  <c:v>229</c:v>
                </c:pt>
                <c:pt idx="6">
                  <c:v>221</c:v>
                </c:pt>
              </c:numCache>
            </c:numRef>
          </c:val>
          <c:extLst>
            <c:ext xmlns:c16="http://schemas.microsoft.com/office/drawing/2014/chart" uri="{C3380CC4-5D6E-409C-BE32-E72D297353CC}">
              <c16:uniqueId val="{00000000-9759-41D4-B04E-A3613FA69D49}"/>
            </c:ext>
          </c:extLst>
        </c:ser>
        <c:dLbls>
          <c:dLblPos val="outEnd"/>
          <c:showLegendKey val="0"/>
          <c:showVal val="1"/>
          <c:showCatName val="0"/>
          <c:showSerName val="0"/>
          <c:showPercent val="0"/>
          <c:showBubbleSize val="0"/>
        </c:dLbls>
        <c:gapWidth val="160"/>
        <c:overlap val="-27"/>
        <c:axId val="1058454992"/>
        <c:axId val="1058452496"/>
      </c:barChart>
      <c:catAx>
        <c:axId val="105845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58452496"/>
        <c:crosses val="autoZero"/>
        <c:auto val="1"/>
        <c:lblAlgn val="ctr"/>
        <c:lblOffset val="100"/>
        <c:noMultiLvlLbl val="0"/>
      </c:catAx>
      <c:valAx>
        <c:axId val="1058452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5845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[Data_solutions and analysis.xlsx]Pivoting!dash6</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a:t>
            </a:r>
            <a:r>
              <a:rPr lang="en-US" b="1" baseline="0">
                <a:solidFill>
                  <a:schemeClr val="bg1"/>
                </a:solidFill>
              </a:rPr>
              <a:t> Sales By 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w="19050">
            <a:noFill/>
          </a:ln>
          <a:effectLst/>
        </c:spPr>
      </c:pivotFmt>
      <c:pivotFmt>
        <c:idx val="6"/>
        <c:spPr>
          <a:solidFill>
            <a:schemeClr val="tx2"/>
          </a:solidFill>
          <a:ln w="19050">
            <a:noFill/>
          </a:ln>
          <a:effectLst/>
        </c:spPr>
      </c:pivotFmt>
    </c:pivotFmts>
    <c:plotArea>
      <c:layout/>
      <c:pieChart>
        <c:varyColors val="1"/>
        <c:ser>
          <c:idx val="0"/>
          <c:order val="0"/>
          <c:tx>
            <c:strRef>
              <c:f>Pivoting!$I$48</c:f>
              <c:strCache>
                <c:ptCount val="1"/>
                <c:pt idx="0">
                  <c:v>Total</c:v>
                </c:pt>
              </c:strCache>
            </c:strRef>
          </c:tx>
          <c:spPr>
            <a:solidFill>
              <a:schemeClr val="tx2">
                <a:lumMod val="75000"/>
              </a:schemeClr>
            </a:solidFill>
            <a:ln>
              <a:noFill/>
            </a:ln>
          </c:spPr>
          <c:dPt>
            <c:idx val="0"/>
            <c:bubble3D val="0"/>
            <c:spPr>
              <a:solidFill>
                <a:schemeClr val="tx2">
                  <a:lumMod val="75000"/>
                </a:schemeClr>
              </a:solidFill>
              <a:ln w="19050">
                <a:noFill/>
              </a:ln>
              <a:effectLst/>
            </c:spPr>
            <c:extLst>
              <c:ext xmlns:c16="http://schemas.microsoft.com/office/drawing/2014/chart" uri="{C3380CC4-5D6E-409C-BE32-E72D297353CC}">
                <c16:uniqueId val="{00000001-2A7E-4679-939E-2279E7198463}"/>
              </c:ext>
            </c:extLst>
          </c:dPt>
          <c:dPt>
            <c:idx val="1"/>
            <c:bubble3D val="0"/>
            <c:spPr>
              <a:solidFill>
                <a:schemeClr val="tx2"/>
              </a:solidFill>
              <a:ln w="19050">
                <a:noFill/>
              </a:ln>
              <a:effectLst/>
            </c:spPr>
            <c:extLst>
              <c:ext xmlns:c16="http://schemas.microsoft.com/office/drawing/2014/chart" uri="{C3380CC4-5D6E-409C-BE32-E72D297353CC}">
                <c16:uniqueId val="{00000003-2A7E-4679-939E-2279E71984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Pivoting!$H$49:$H$51</c:f>
              <c:strCache>
                <c:ptCount val="2"/>
                <c:pt idx="0">
                  <c:v>Electronics</c:v>
                </c:pt>
                <c:pt idx="1">
                  <c:v>Furniture</c:v>
                </c:pt>
              </c:strCache>
            </c:strRef>
          </c:cat>
          <c:val>
            <c:numRef>
              <c:f>Pivoting!$I$49:$I$51</c:f>
              <c:numCache>
                <c:formatCode>0</c:formatCode>
                <c:ptCount val="2"/>
                <c:pt idx="0">
                  <c:v>27896636</c:v>
                </c:pt>
                <c:pt idx="1">
                  <c:v>7916644</c:v>
                </c:pt>
              </c:numCache>
            </c:numRef>
          </c:val>
          <c:extLst>
            <c:ext xmlns:c16="http://schemas.microsoft.com/office/drawing/2014/chart" uri="{C3380CC4-5D6E-409C-BE32-E72D297353CC}">
              <c16:uniqueId val="{00000004-2A7E-4679-939E-2279E719846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974106758451299"/>
          <c:y val="0.48366454193225855"/>
          <c:w val="0.20784996224000302"/>
          <c:h val="0.158451871816891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19</xdr:col>
      <xdr:colOff>9524</xdr:colOff>
      <xdr:row>92</xdr:row>
      <xdr:rowOff>9526</xdr:rowOff>
    </xdr:from>
    <xdr:to>
      <xdr:col>20</xdr:col>
      <xdr:colOff>952499</xdr:colOff>
      <xdr:row>99</xdr:row>
      <xdr:rowOff>180975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5671417-F88E-480E-B71A-8F3E5BB543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96799" y="17678401"/>
              <a:ext cx="1952625"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9525</xdr:colOff>
      <xdr:row>103</xdr:row>
      <xdr:rowOff>9525</xdr:rowOff>
    </xdr:from>
    <xdr:to>
      <xdr:col>24</xdr:col>
      <xdr:colOff>0</xdr:colOff>
      <xdr:row>117</xdr:row>
      <xdr:rowOff>9525</xdr:rowOff>
    </xdr:to>
    <xdr:graphicFrame macro="">
      <xdr:nvGraphicFramePr>
        <xdr:cNvPr id="4" name="Chart 3">
          <a:extLst>
            <a:ext uri="{FF2B5EF4-FFF2-40B4-BE49-F238E27FC236}">
              <a16:creationId xmlns:a16="http://schemas.microsoft.com/office/drawing/2014/main" id="{22887BF3-18A7-453B-99C1-D73AA32E5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9525</xdr:colOff>
      <xdr:row>120</xdr:row>
      <xdr:rowOff>185737</xdr:rowOff>
    </xdr:from>
    <xdr:to>
      <xdr:col>24</xdr:col>
      <xdr:colOff>0</xdr:colOff>
      <xdr:row>135</xdr:row>
      <xdr:rowOff>71437</xdr:rowOff>
    </xdr:to>
    <xdr:graphicFrame macro="">
      <xdr:nvGraphicFramePr>
        <xdr:cNvPr id="5" name="Chart 4">
          <a:extLst>
            <a:ext uri="{FF2B5EF4-FFF2-40B4-BE49-F238E27FC236}">
              <a16:creationId xmlns:a16="http://schemas.microsoft.com/office/drawing/2014/main" id="{3E3BCDA9-1167-4907-BF57-3FBF459B5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85725</xdr:colOff>
      <xdr:row>12</xdr:row>
      <xdr:rowOff>76201</xdr:rowOff>
    </xdr:from>
    <xdr:to>
      <xdr:col>8</xdr:col>
      <xdr:colOff>219075</xdr:colOff>
      <xdr:row>20</xdr:row>
      <xdr:rowOff>19051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AD8CAD74-AC64-43FD-8A64-C0D8FDD1E8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391150" y="236220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76200</xdr:colOff>
      <xdr:row>20</xdr:row>
      <xdr:rowOff>123826</xdr:rowOff>
    </xdr:from>
    <xdr:to>
      <xdr:col>8</xdr:col>
      <xdr:colOff>209550</xdr:colOff>
      <xdr:row>31</xdr:row>
      <xdr:rowOff>9525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9E641DAA-4917-484A-A212-FD0DB753198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5381625" y="3933826"/>
              <a:ext cx="1828800"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285750</xdr:colOff>
      <xdr:row>46</xdr:row>
      <xdr:rowOff>4762</xdr:rowOff>
    </xdr:from>
    <xdr:to>
      <xdr:col>5</xdr:col>
      <xdr:colOff>514350</xdr:colOff>
      <xdr:row>60</xdr:row>
      <xdr:rowOff>80962</xdr:rowOff>
    </xdr:to>
    <xdr:graphicFrame macro="">
      <xdr:nvGraphicFramePr>
        <xdr:cNvPr id="10" name="Chart 9">
          <a:extLst>
            <a:ext uri="{FF2B5EF4-FFF2-40B4-BE49-F238E27FC236}">
              <a16:creationId xmlns:a16="http://schemas.microsoft.com/office/drawing/2014/main" id="{1CA3E8A5-D560-4D5B-9E2A-DDC3F2730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50</xdr:row>
      <xdr:rowOff>133350</xdr:rowOff>
    </xdr:from>
    <xdr:to>
      <xdr:col>13</xdr:col>
      <xdr:colOff>1047750</xdr:colOff>
      <xdr:row>62</xdr:row>
      <xdr:rowOff>119062</xdr:rowOff>
    </xdr:to>
    <xdr:graphicFrame macro="">
      <xdr:nvGraphicFramePr>
        <xdr:cNvPr id="11" name="Chart 10">
          <a:extLst>
            <a:ext uri="{FF2B5EF4-FFF2-40B4-BE49-F238E27FC236}">
              <a16:creationId xmlns:a16="http://schemas.microsoft.com/office/drawing/2014/main" id="{4014B12A-1F7C-43D7-922A-4B895D0F5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28576</xdr:colOff>
      <xdr:row>0</xdr:row>
      <xdr:rowOff>0</xdr:rowOff>
    </xdr:from>
    <xdr:to>
      <xdr:col>21</xdr:col>
      <xdr:colOff>257175</xdr:colOff>
      <xdr:row>44</xdr:row>
      <xdr:rowOff>19050</xdr:rowOff>
    </xdr:to>
    <xdr:sp macro="" textlink="">
      <xdr:nvSpPr>
        <xdr:cNvPr id="4" name="Rectangle 3">
          <a:extLst>
            <a:ext uri="{FF2B5EF4-FFF2-40B4-BE49-F238E27FC236}">
              <a16:creationId xmlns:a16="http://schemas.microsoft.com/office/drawing/2014/main" id="{8605934B-C93D-429D-B790-76E3CD2F5ADF}"/>
            </a:ext>
          </a:extLst>
        </xdr:cNvPr>
        <xdr:cNvSpPr/>
      </xdr:nvSpPr>
      <xdr:spPr>
        <a:xfrm>
          <a:off x="28576" y="0"/>
          <a:ext cx="13030199" cy="8401050"/>
        </a:xfrm>
        <a:prstGeom prst="rect">
          <a:avLst/>
        </a:prstGeom>
        <a:solidFill>
          <a:srgbClr val="5F5F5F"/>
        </a:solidFill>
        <a:ln w="19050">
          <a:noFill/>
        </a:ln>
        <a:effectLst>
          <a:glow rad="38100">
            <a:schemeClr val="accent1">
              <a:alpha val="40000"/>
            </a:schemeClr>
          </a:glow>
          <a:outerShdw blurRad="279400" dist="50800" dir="7800000" algn="ctr" rotWithShape="0">
            <a:srgbClr val="000000">
              <a:alpha val="39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0</xdr:row>
      <xdr:rowOff>28575</xdr:rowOff>
    </xdr:from>
    <xdr:to>
      <xdr:col>21</xdr:col>
      <xdr:colOff>190501</xdr:colOff>
      <xdr:row>5</xdr:row>
      <xdr:rowOff>142874</xdr:rowOff>
    </xdr:to>
    <xdr:sp macro="" textlink="">
      <xdr:nvSpPr>
        <xdr:cNvPr id="5" name="Rectangle: Rounded Corners 4">
          <a:extLst>
            <a:ext uri="{FF2B5EF4-FFF2-40B4-BE49-F238E27FC236}">
              <a16:creationId xmlns:a16="http://schemas.microsoft.com/office/drawing/2014/main" id="{C2207C6B-E065-4923-80F8-C51536D6605F}"/>
            </a:ext>
          </a:extLst>
        </xdr:cNvPr>
        <xdr:cNvSpPr/>
      </xdr:nvSpPr>
      <xdr:spPr>
        <a:xfrm>
          <a:off x="38101" y="28575"/>
          <a:ext cx="12954000" cy="1066799"/>
        </a:xfrm>
        <a:prstGeom prst="roundRect">
          <a:avLst/>
        </a:prstGeom>
        <a:solidFill>
          <a:schemeClr val="accent5">
            <a:lumMod val="40000"/>
            <a:lumOff val="60000"/>
          </a:schemeClr>
        </a:solidFill>
        <a:ln w="19050">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0</xdr:row>
      <xdr:rowOff>85724</xdr:rowOff>
    </xdr:from>
    <xdr:to>
      <xdr:col>6</xdr:col>
      <xdr:colOff>209551</xdr:colOff>
      <xdr:row>5</xdr:row>
      <xdr:rowOff>95250</xdr:rowOff>
    </xdr:to>
    <xdr:sp macro="" textlink="">
      <xdr:nvSpPr>
        <xdr:cNvPr id="6" name="TextBox 5">
          <a:extLst>
            <a:ext uri="{FF2B5EF4-FFF2-40B4-BE49-F238E27FC236}">
              <a16:creationId xmlns:a16="http://schemas.microsoft.com/office/drawing/2014/main" id="{3AF1D057-3F72-4A0C-92D5-6BF917E0D017}"/>
            </a:ext>
          </a:extLst>
        </xdr:cNvPr>
        <xdr:cNvSpPr txBox="1"/>
      </xdr:nvSpPr>
      <xdr:spPr>
        <a:xfrm>
          <a:off x="133351" y="85724"/>
          <a:ext cx="3733800" cy="962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1">
              <a:latin typeface="Bahnschrift SemiBold SemiConden" panose="020B0502040204020203" pitchFamily="34" charset="0"/>
            </a:rPr>
            <a:t>Sales</a:t>
          </a:r>
          <a:r>
            <a:rPr lang="en-US" sz="3600" b="1" i="1">
              <a:latin typeface="Bahnschrift SemiBold SemiConden" panose="020B0502040204020203" pitchFamily="34" charset="0"/>
            </a:rPr>
            <a:t> </a:t>
          </a:r>
          <a:r>
            <a:rPr lang="en-US" sz="2800" b="1" i="1">
              <a:latin typeface="Bahnschrift SemiBold SemiConden" panose="020B0502040204020203" pitchFamily="34" charset="0"/>
            </a:rPr>
            <a:t>Analysis </a:t>
          </a:r>
          <a:endParaRPr lang="en-US" sz="1400" b="1" i="1">
            <a:latin typeface="Bahnschrift SemiBold SemiConden" panose="020B0502040204020203" pitchFamily="34" charset="0"/>
          </a:endParaRPr>
        </a:p>
        <a:p>
          <a:r>
            <a:rPr lang="en-US" sz="1400" b="1">
              <a:latin typeface="Bahnschrift SemiBold SemiConden" panose="020B0502040204020203" pitchFamily="34" charset="0"/>
            </a:rPr>
            <a:t>                                                    </a:t>
          </a:r>
          <a:r>
            <a:rPr lang="en-US" sz="1400" b="1" i="1">
              <a:latin typeface="Bahnschrift SemiBold SemiConden" panose="020B0502040204020203" pitchFamily="34" charset="0"/>
            </a:rPr>
            <a:t> </a:t>
          </a:r>
          <a:r>
            <a:rPr lang="en-US" sz="2000" b="1" i="1">
              <a:latin typeface="Bahnschrift SemiBold SemiConden" panose="020B0502040204020203" pitchFamily="34" charset="0"/>
            </a:rPr>
            <a:t>Dashboard  </a:t>
          </a:r>
          <a:r>
            <a:rPr lang="en-US" sz="1600" b="1" i="1">
              <a:latin typeface="Bahnschrift SemiBold SemiConden" panose="020B0502040204020203" pitchFamily="34" charset="0"/>
            </a:rPr>
            <a:t> </a:t>
          </a:r>
        </a:p>
        <a:p>
          <a:endParaRPr lang="en-US" sz="1400" b="1"/>
        </a:p>
        <a:p>
          <a:endParaRPr lang="en-US" sz="3600" b="1"/>
        </a:p>
      </xdr:txBody>
    </xdr:sp>
    <xdr:clientData/>
  </xdr:twoCellAnchor>
  <xdr:twoCellAnchor>
    <xdr:from>
      <xdr:col>1</xdr:col>
      <xdr:colOff>47625</xdr:colOff>
      <xdr:row>6</xdr:row>
      <xdr:rowOff>28575</xdr:rowOff>
    </xdr:from>
    <xdr:to>
      <xdr:col>4</xdr:col>
      <xdr:colOff>590550</xdr:colOff>
      <xdr:row>11</xdr:row>
      <xdr:rowOff>123825</xdr:rowOff>
    </xdr:to>
    <xdr:grpSp>
      <xdr:nvGrpSpPr>
        <xdr:cNvPr id="22" name="Group 21">
          <a:extLst>
            <a:ext uri="{FF2B5EF4-FFF2-40B4-BE49-F238E27FC236}">
              <a16:creationId xmlns:a16="http://schemas.microsoft.com/office/drawing/2014/main" id="{5A70FD15-1736-4281-990C-5DD3989029F5}"/>
            </a:ext>
          </a:extLst>
        </xdr:cNvPr>
        <xdr:cNvGrpSpPr/>
      </xdr:nvGrpSpPr>
      <xdr:grpSpPr>
        <a:xfrm>
          <a:off x="657225" y="1171575"/>
          <a:ext cx="2371725" cy="1047750"/>
          <a:chOff x="1819275" y="1209675"/>
          <a:chExt cx="2371725" cy="1047750"/>
        </a:xfrm>
      </xdr:grpSpPr>
      <xdr:sp macro="" textlink="">
        <xdr:nvSpPr>
          <xdr:cNvPr id="7" name="Rectangle: Rounded Corners 6">
            <a:extLst>
              <a:ext uri="{FF2B5EF4-FFF2-40B4-BE49-F238E27FC236}">
                <a16:creationId xmlns:a16="http://schemas.microsoft.com/office/drawing/2014/main" id="{47576FD7-22EE-4903-B78F-F191E389CCFA}"/>
              </a:ext>
            </a:extLst>
          </xdr:cNvPr>
          <xdr:cNvSpPr/>
        </xdr:nvSpPr>
        <xdr:spPr>
          <a:xfrm>
            <a:off x="1838325" y="1228725"/>
            <a:ext cx="2352675" cy="10287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lumMod val="50000"/>
                    <a:lumOff val="50000"/>
                  </a:schemeClr>
                </a:solidFill>
              </a:ln>
            </a:endParaRPr>
          </a:p>
        </xdr:txBody>
      </xdr:sp>
      <xdr:sp macro="" textlink="">
        <xdr:nvSpPr>
          <xdr:cNvPr id="11" name="TextBox 10">
            <a:extLst>
              <a:ext uri="{FF2B5EF4-FFF2-40B4-BE49-F238E27FC236}">
                <a16:creationId xmlns:a16="http://schemas.microsoft.com/office/drawing/2014/main" id="{F54E6525-75FE-432A-A119-F6F2606D72EE}"/>
              </a:ext>
            </a:extLst>
          </xdr:cNvPr>
          <xdr:cNvSpPr txBox="1"/>
        </xdr:nvSpPr>
        <xdr:spPr>
          <a:xfrm>
            <a:off x="1990725" y="1209675"/>
            <a:ext cx="1924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ahnschrift SemiBold Condensed" panose="020B0502040204020203" pitchFamily="34" charset="0"/>
              </a:rPr>
              <a:t>Total Revenue</a:t>
            </a:r>
          </a:p>
        </xdr:txBody>
      </xdr:sp>
      <xdr:sp macro="" textlink="">
        <xdr:nvSpPr>
          <xdr:cNvPr id="15" name="TextBox 14">
            <a:extLst>
              <a:ext uri="{FF2B5EF4-FFF2-40B4-BE49-F238E27FC236}">
                <a16:creationId xmlns:a16="http://schemas.microsoft.com/office/drawing/2014/main" id="{6E987015-3052-435C-A505-DBB6ACF84E5B}"/>
              </a:ext>
            </a:extLst>
          </xdr:cNvPr>
          <xdr:cNvSpPr txBox="1"/>
        </xdr:nvSpPr>
        <xdr:spPr>
          <a:xfrm>
            <a:off x="1819275" y="1581150"/>
            <a:ext cx="19240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       </a:t>
            </a:r>
            <a:r>
              <a:rPr lang="en-US" sz="2400" b="1" i="0" u="none" strike="noStrike">
                <a:solidFill>
                  <a:schemeClr val="dk1"/>
                </a:solidFill>
                <a:effectLst/>
                <a:latin typeface="Cambria Math" panose="02040503050406030204" pitchFamily="18" charset="0"/>
                <a:ea typeface="Cambria Math" panose="02040503050406030204" pitchFamily="18" charset="0"/>
                <a:cs typeface="+mn-cs"/>
              </a:rPr>
              <a:t> 35.8M</a:t>
            </a:r>
            <a:r>
              <a:rPr lang="en-US" sz="4800" b="1">
                <a:latin typeface="Cambria Math" panose="02040503050406030204" pitchFamily="18" charset="0"/>
                <a:ea typeface="Cambria Math" panose="02040503050406030204" pitchFamily="18" charset="0"/>
              </a:rPr>
              <a:t>  </a:t>
            </a:r>
            <a:endParaRPr lang="en-US" sz="2400" b="1">
              <a:latin typeface="Cambria Math" panose="02040503050406030204" pitchFamily="18" charset="0"/>
              <a:ea typeface="Cambria Math" panose="02040503050406030204" pitchFamily="18" charset="0"/>
            </a:endParaRPr>
          </a:p>
        </xdr:txBody>
      </xdr:sp>
    </xdr:grpSp>
    <xdr:clientData/>
  </xdr:twoCellAnchor>
  <xdr:twoCellAnchor>
    <xdr:from>
      <xdr:col>6</xdr:col>
      <xdr:colOff>152400</xdr:colOff>
      <xdr:row>6</xdr:row>
      <xdr:rowOff>85725</xdr:rowOff>
    </xdr:from>
    <xdr:to>
      <xdr:col>10</xdr:col>
      <xdr:colOff>66675</xdr:colOff>
      <xdr:row>11</xdr:row>
      <xdr:rowOff>161925</xdr:rowOff>
    </xdr:to>
    <xdr:grpSp>
      <xdr:nvGrpSpPr>
        <xdr:cNvPr id="23" name="Group 22">
          <a:extLst>
            <a:ext uri="{FF2B5EF4-FFF2-40B4-BE49-F238E27FC236}">
              <a16:creationId xmlns:a16="http://schemas.microsoft.com/office/drawing/2014/main" id="{4935F021-77B1-491D-A643-EE7CDE6F4122}"/>
            </a:ext>
          </a:extLst>
        </xdr:cNvPr>
        <xdr:cNvGrpSpPr/>
      </xdr:nvGrpSpPr>
      <xdr:grpSpPr>
        <a:xfrm>
          <a:off x="3810000" y="1228725"/>
          <a:ext cx="2352675" cy="1028700"/>
          <a:chOff x="4733925" y="1209675"/>
          <a:chExt cx="2352675" cy="1028700"/>
        </a:xfrm>
      </xdr:grpSpPr>
      <xdr:sp macro="" textlink="">
        <xdr:nvSpPr>
          <xdr:cNvPr id="10" name="Rectangle: Rounded Corners 9">
            <a:extLst>
              <a:ext uri="{FF2B5EF4-FFF2-40B4-BE49-F238E27FC236}">
                <a16:creationId xmlns:a16="http://schemas.microsoft.com/office/drawing/2014/main" id="{6FB2E7D5-4DBA-4624-95F7-FDFFF3F4937D}"/>
              </a:ext>
            </a:extLst>
          </xdr:cNvPr>
          <xdr:cNvSpPr/>
        </xdr:nvSpPr>
        <xdr:spPr>
          <a:xfrm>
            <a:off x="4733925" y="1209675"/>
            <a:ext cx="2352675" cy="10287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 name="TextBox 15">
            <a:extLst>
              <a:ext uri="{FF2B5EF4-FFF2-40B4-BE49-F238E27FC236}">
                <a16:creationId xmlns:a16="http://schemas.microsoft.com/office/drawing/2014/main" id="{5A169A92-6856-4071-A820-1F47EB59E838}"/>
              </a:ext>
            </a:extLst>
          </xdr:cNvPr>
          <xdr:cNvSpPr txBox="1"/>
        </xdr:nvSpPr>
        <xdr:spPr>
          <a:xfrm>
            <a:off x="4933950" y="1219200"/>
            <a:ext cx="1924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ahnschrift SemiBold Condensed" panose="020B0502040204020203" pitchFamily="34" charset="0"/>
              </a:rPr>
              <a:t>Total</a:t>
            </a:r>
            <a:r>
              <a:rPr lang="en-US" sz="2400" b="1" baseline="0">
                <a:latin typeface="Bahnschrift SemiBold Condensed" panose="020B0502040204020203" pitchFamily="34" charset="0"/>
              </a:rPr>
              <a:t> Quantity</a:t>
            </a:r>
            <a:endParaRPr lang="en-US" sz="2400" b="1">
              <a:latin typeface="Bahnschrift SemiBold Condensed" panose="020B0502040204020203" pitchFamily="34" charset="0"/>
            </a:endParaRPr>
          </a:p>
        </xdr:txBody>
      </xdr:sp>
      <xdr:sp macro="" textlink="">
        <xdr:nvSpPr>
          <xdr:cNvPr id="19" name="TextBox 18">
            <a:extLst>
              <a:ext uri="{FF2B5EF4-FFF2-40B4-BE49-F238E27FC236}">
                <a16:creationId xmlns:a16="http://schemas.microsoft.com/office/drawing/2014/main" id="{8D529FE5-024F-42B5-8B9A-48860AB8C209}"/>
              </a:ext>
            </a:extLst>
          </xdr:cNvPr>
          <xdr:cNvSpPr txBox="1"/>
        </xdr:nvSpPr>
        <xdr:spPr>
          <a:xfrm>
            <a:off x="4772025" y="1628775"/>
            <a:ext cx="19240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dk1"/>
                </a:solidFill>
                <a:effectLst/>
                <a:latin typeface="+mn-lt"/>
                <a:ea typeface="+mn-ea"/>
                <a:cs typeface="+mn-cs"/>
              </a:rPr>
              <a:t>         </a:t>
            </a:r>
            <a:r>
              <a:rPr lang="en-US" sz="2400" b="1" i="0" u="none" strike="noStrike">
                <a:solidFill>
                  <a:schemeClr val="dk1"/>
                </a:solidFill>
                <a:effectLst/>
                <a:latin typeface="Cambria Math" panose="02040503050406030204" pitchFamily="18" charset="0"/>
                <a:ea typeface="Cambria Math" panose="02040503050406030204" pitchFamily="18" charset="0"/>
                <a:cs typeface="+mn-cs"/>
              </a:rPr>
              <a:t>1610</a:t>
            </a:r>
            <a:r>
              <a:rPr lang="en-US" sz="1100" b="0" i="0" u="none" strike="noStrike">
                <a:solidFill>
                  <a:schemeClr val="dk1"/>
                </a:solidFill>
                <a:effectLst/>
                <a:latin typeface="+mn-lt"/>
                <a:ea typeface="+mn-ea"/>
                <a:cs typeface="+mn-cs"/>
              </a:rPr>
              <a:t>  </a:t>
            </a:r>
          </a:p>
        </xdr:txBody>
      </xdr:sp>
    </xdr:grpSp>
    <xdr:clientData/>
  </xdr:twoCellAnchor>
  <xdr:twoCellAnchor>
    <xdr:from>
      <xdr:col>11</xdr:col>
      <xdr:colOff>438150</xdr:colOff>
      <xdr:row>6</xdr:row>
      <xdr:rowOff>76200</xdr:rowOff>
    </xdr:from>
    <xdr:to>
      <xdr:col>15</xdr:col>
      <xdr:colOff>390525</xdr:colOff>
      <xdr:row>11</xdr:row>
      <xdr:rowOff>161925</xdr:rowOff>
    </xdr:to>
    <xdr:grpSp>
      <xdr:nvGrpSpPr>
        <xdr:cNvPr id="24" name="Group 23">
          <a:extLst>
            <a:ext uri="{FF2B5EF4-FFF2-40B4-BE49-F238E27FC236}">
              <a16:creationId xmlns:a16="http://schemas.microsoft.com/office/drawing/2014/main" id="{9D36CE15-3CD9-4A82-B909-5A032DB20DA6}"/>
            </a:ext>
          </a:extLst>
        </xdr:cNvPr>
        <xdr:cNvGrpSpPr/>
      </xdr:nvGrpSpPr>
      <xdr:grpSpPr>
        <a:xfrm>
          <a:off x="7143750" y="1219200"/>
          <a:ext cx="2390775" cy="1038225"/>
          <a:chOff x="7581900" y="1209675"/>
          <a:chExt cx="2390775" cy="1038225"/>
        </a:xfrm>
      </xdr:grpSpPr>
      <xdr:sp macro="" textlink="">
        <xdr:nvSpPr>
          <xdr:cNvPr id="8" name="Rectangle: Rounded Corners 7">
            <a:extLst>
              <a:ext uri="{FF2B5EF4-FFF2-40B4-BE49-F238E27FC236}">
                <a16:creationId xmlns:a16="http://schemas.microsoft.com/office/drawing/2014/main" id="{8FE4A0AD-0A04-4C76-8274-42A91DD9EA18}"/>
              </a:ext>
            </a:extLst>
          </xdr:cNvPr>
          <xdr:cNvSpPr/>
        </xdr:nvSpPr>
        <xdr:spPr>
          <a:xfrm>
            <a:off x="7620000" y="1219200"/>
            <a:ext cx="2352675" cy="10287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7" name="TextBox 16">
            <a:extLst>
              <a:ext uri="{FF2B5EF4-FFF2-40B4-BE49-F238E27FC236}">
                <a16:creationId xmlns:a16="http://schemas.microsoft.com/office/drawing/2014/main" id="{0992375C-612A-4647-9AD4-7DA2A58DC0AD}"/>
              </a:ext>
            </a:extLst>
          </xdr:cNvPr>
          <xdr:cNvSpPr txBox="1"/>
        </xdr:nvSpPr>
        <xdr:spPr>
          <a:xfrm>
            <a:off x="7772400" y="1209675"/>
            <a:ext cx="1924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ahnschrift SemiBold Condensed" panose="020B0502040204020203" pitchFamily="34" charset="0"/>
              </a:rPr>
              <a:t>Total</a:t>
            </a:r>
            <a:r>
              <a:rPr lang="en-US" sz="2400" b="1" baseline="0">
                <a:latin typeface="Bahnschrift SemiBold Condensed" panose="020B0502040204020203" pitchFamily="34" charset="0"/>
              </a:rPr>
              <a:t> Orders</a:t>
            </a:r>
            <a:endParaRPr lang="en-US" sz="2400" b="1">
              <a:latin typeface="Bahnschrift SemiBold Condensed" panose="020B0502040204020203" pitchFamily="34" charset="0"/>
            </a:endParaRPr>
          </a:p>
        </xdr:txBody>
      </xdr:sp>
      <xdr:sp macro="" textlink="">
        <xdr:nvSpPr>
          <xdr:cNvPr id="20" name="TextBox 19">
            <a:extLst>
              <a:ext uri="{FF2B5EF4-FFF2-40B4-BE49-F238E27FC236}">
                <a16:creationId xmlns:a16="http://schemas.microsoft.com/office/drawing/2014/main" id="{6F75F06A-2041-4E42-B4AF-92C8C93BC5CC}"/>
              </a:ext>
            </a:extLst>
          </xdr:cNvPr>
          <xdr:cNvSpPr txBox="1"/>
        </xdr:nvSpPr>
        <xdr:spPr>
          <a:xfrm>
            <a:off x="7581900" y="1666875"/>
            <a:ext cx="19240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dk1"/>
                </a:solidFill>
                <a:effectLst/>
                <a:latin typeface="+mn-lt"/>
                <a:ea typeface="+mn-ea"/>
                <a:cs typeface="+mn-cs"/>
              </a:rPr>
              <a:t>         </a:t>
            </a:r>
            <a:r>
              <a:rPr lang="en-US" sz="2400" b="1" i="0" u="none" strike="noStrike">
                <a:solidFill>
                  <a:schemeClr val="dk1"/>
                </a:solidFill>
                <a:effectLst/>
                <a:latin typeface="Cambria Math" panose="02040503050406030204" pitchFamily="18" charset="0"/>
                <a:ea typeface="Cambria Math" panose="02040503050406030204" pitchFamily="18" charset="0"/>
                <a:cs typeface="+mn-cs"/>
              </a:rPr>
              <a:t>300</a:t>
            </a:r>
            <a:r>
              <a:rPr lang="en-US" sz="1100" b="0" i="0" u="none" strike="noStrike">
                <a:solidFill>
                  <a:schemeClr val="dk1"/>
                </a:solidFill>
                <a:effectLst/>
                <a:latin typeface="+mn-lt"/>
                <a:ea typeface="+mn-ea"/>
                <a:cs typeface="+mn-cs"/>
              </a:rPr>
              <a:t>  </a:t>
            </a:r>
          </a:p>
        </xdr:txBody>
      </xdr:sp>
    </xdr:grpSp>
    <xdr:clientData/>
  </xdr:twoCellAnchor>
  <xdr:twoCellAnchor>
    <xdr:from>
      <xdr:col>16</xdr:col>
      <xdr:colOff>371475</xdr:colOff>
      <xdr:row>6</xdr:row>
      <xdr:rowOff>76200</xdr:rowOff>
    </xdr:from>
    <xdr:to>
      <xdr:col>20</xdr:col>
      <xdr:colOff>285750</xdr:colOff>
      <xdr:row>11</xdr:row>
      <xdr:rowOff>161925</xdr:rowOff>
    </xdr:to>
    <xdr:grpSp>
      <xdr:nvGrpSpPr>
        <xdr:cNvPr id="25" name="Group 24">
          <a:extLst>
            <a:ext uri="{FF2B5EF4-FFF2-40B4-BE49-F238E27FC236}">
              <a16:creationId xmlns:a16="http://schemas.microsoft.com/office/drawing/2014/main" id="{48994A7F-2ADB-4759-A972-719E4C08F440}"/>
            </a:ext>
          </a:extLst>
        </xdr:cNvPr>
        <xdr:cNvGrpSpPr/>
      </xdr:nvGrpSpPr>
      <xdr:grpSpPr>
        <a:xfrm>
          <a:off x="10125075" y="1219200"/>
          <a:ext cx="2352675" cy="1038225"/>
          <a:chOff x="10420350" y="1200150"/>
          <a:chExt cx="2352675" cy="1038225"/>
        </a:xfrm>
      </xdr:grpSpPr>
      <xdr:sp macro="" textlink="">
        <xdr:nvSpPr>
          <xdr:cNvPr id="9" name="Rectangle: Rounded Corners 8">
            <a:extLst>
              <a:ext uri="{FF2B5EF4-FFF2-40B4-BE49-F238E27FC236}">
                <a16:creationId xmlns:a16="http://schemas.microsoft.com/office/drawing/2014/main" id="{C5F49960-5495-46A8-9BCC-0E5228C8AD6E}"/>
              </a:ext>
            </a:extLst>
          </xdr:cNvPr>
          <xdr:cNvSpPr/>
        </xdr:nvSpPr>
        <xdr:spPr>
          <a:xfrm>
            <a:off x="10420350" y="1209675"/>
            <a:ext cx="2352675" cy="10287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8" name="TextBox 17">
            <a:extLst>
              <a:ext uri="{FF2B5EF4-FFF2-40B4-BE49-F238E27FC236}">
                <a16:creationId xmlns:a16="http://schemas.microsoft.com/office/drawing/2014/main" id="{DC9A7FC1-3FB1-45B8-AAF4-6B6F326312FB}"/>
              </a:ext>
            </a:extLst>
          </xdr:cNvPr>
          <xdr:cNvSpPr txBox="1"/>
        </xdr:nvSpPr>
        <xdr:spPr>
          <a:xfrm>
            <a:off x="10658475" y="1200150"/>
            <a:ext cx="192405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Bahnschrift SemiBold Condensed" panose="020B0502040204020203" pitchFamily="34" charset="0"/>
              </a:rPr>
              <a:t>Avg</a:t>
            </a:r>
            <a:r>
              <a:rPr lang="en-US" sz="2400" b="1" baseline="0">
                <a:latin typeface="Bahnschrift SemiBold Condensed" panose="020B0502040204020203" pitchFamily="34" charset="0"/>
              </a:rPr>
              <a:t> Price</a:t>
            </a:r>
            <a:endParaRPr lang="en-US" sz="2400" b="1">
              <a:latin typeface="Bahnschrift SemiBold Condensed" panose="020B0502040204020203" pitchFamily="34" charset="0"/>
            </a:endParaRPr>
          </a:p>
        </xdr:txBody>
      </xdr:sp>
      <xdr:sp macro="" textlink="">
        <xdr:nvSpPr>
          <xdr:cNvPr id="21" name="TextBox 20">
            <a:extLst>
              <a:ext uri="{FF2B5EF4-FFF2-40B4-BE49-F238E27FC236}">
                <a16:creationId xmlns:a16="http://schemas.microsoft.com/office/drawing/2014/main" id="{6BAC74C6-2368-4C13-AC7B-35EEDE30118B}"/>
              </a:ext>
            </a:extLst>
          </xdr:cNvPr>
          <xdr:cNvSpPr txBox="1"/>
        </xdr:nvSpPr>
        <xdr:spPr>
          <a:xfrm>
            <a:off x="10477500" y="1657350"/>
            <a:ext cx="19240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dk1"/>
                </a:solidFill>
                <a:effectLst/>
                <a:latin typeface="+mn-lt"/>
                <a:ea typeface="+mn-ea"/>
                <a:cs typeface="+mn-cs"/>
              </a:rPr>
              <a:t>         </a:t>
            </a:r>
            <a:r>
              <a:rPr lang="en-US" sz="2400" b="1" i="0" u="none" strike="noStrike">
                <a:solidFill>
                  <a:schemeClr val="dk1"/>
                </a:solidFill>
                <a:effectLst/>
                <a:latin typeface="Cambria Math" panose="02040503050406030204" pitchFamily="18" charset="0"/>
                <a:ea typeface="Cambria Math" panose="02040503050406030204" pitchFamily="18" charset="0"/>
                <a:cs typeface="+mn-cs"/>
              </a:rPr>
              <a:t>22.2K</a:t>
            </a:r>
            <a:r>
              <a:rPr lang="en-US" sz="2400"/>
              <a:t> </a:t>
            </a:r>
            <a:endParaRPr lang="en-US" sz="1100" b="0" i="0" u="none" strike="noStrike">
              <a:solidFill>
                <a:schemeClr val="dk1"/>
              </a:solidFill>
              <a:effectLst/>
              <a:latin typeface="+mn-lt"/>
              <a:ea typeface="+mn-ea"/>
              <a:cs typeface="+mn-cs"/>
            </a:endParaRPr>
          </a:p>
        </xdr:txBody>
      </xdr:sp>
    </xdr:grpSp>
    <xdr:clientData/>
  </xdr:twoCellAnchor>
  <xdr:twoCellAnchor>
    <xdr:from>
      <xdr:col>16</xdr:col>
      <xdr:colOff>114300</xdr:colOff>
      <xdr:row>12</xdr:row>
      <xdr:rowOff>152399</xdr:rowOff>
    </xdr:from>
    <xdr:to>
      <xdr:col>21</xdr:col>
      <xdr:colOff>190500</xdr:colOff>
      <xdr:row>25</xdr:row>
      <xdr:rowOff>142874</xdr:rowOff>
    </xdr:to>
    <xdr:graphicFrame macro="">
      <xdr:nvGraphicFramePr>
        <xdr:cNvPr id="26" name="Chart 25">
          <a:extLst>
            <a:ext uri="{FF2B5EF4-FFF2-40B4-BE49-F238E27FC236}">
              <a16:creationId xmlns:a16="http://schemas.microsoft.com/office/drawing/2014/main" id="{AAB05F26-CD21-4193-A0E7-95DCA979F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142876</xdr:colOff>
      <xdr:row>12</xdr:row>
      <xdr:rowOff>95251</xdr:rowOff>
    </xdr:from>
    <xdr:to>
      <xdr:col>8</xdr:col>
      <xdr:colOff>19050</xdr:colOff>
      <xdr:row>27</xdr:row>
      <xdr:rowOff>85725</xdr:rowOff>
    </xdr:to>
    <xdr:graphicFrame macro="">
      <xdr:nvGraphicFramePr>
        <xdr:cNvPr id="27" name="Chart 26">
          <a:extLst>
            <a:ext uri="{FF2B5EF4-FFF2-40B4-BE49-F238E27FC236}">
              <a16:creationId xmlns:a16="http://schemas.microsoft.com/office/drawing/2014/main" id="{37AEF2D8-2120-4238-892E-C380852F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209551</xdr:colOff>
      <xdr:row>28</xdr:row>
      <xdr:rowOff>171449</xdr:rowOff>
    </xdr:from>
    <xdr:to>
      <xdr:col>7</xdr:col>
      <xdr:colOff>419100</xdr:colOff>
      <xdr:row>42</xdr:row>
      <xdr:rowOff>171450</xdr:rowOff>
    </xdr:to>
    <xdr:graphicFrame macro="">
      <xdr:nvGraphicFramePr>
        <xdr:cNvPr id="32" name="Chart 31">
          <a:extLst>
            <a:ext uri="{FF2B5EF4-FFF2-40B4-BE49-F238E27FC236}">
              <a16:creationId xmlns:a16="http://schemas.microsoft.com/office/drawing/2014/main" id="{D74FAB4E-F47A-4EA3-BD9E-E43D7551C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514352</xdr:colOff>
      <xdr:row>27</xdr:row>
      <xdr:rowOff>133349</xdr:rowOff>
    </xdr:from>
    <xdr:to>
      <xdr:col>21</xdr:col>
      <xdr:colOff>333376</xdr:colOff>
      <xdr:row>44</xdr:row>
      <xdr:rowOff>38100</xdr:rowOff>
    </xdr:to>
    <xdr:graphicFrame macro="">
      <xdr:nvGraphicFramePr>
        <xdr:cNvPr id="33" name="Chart 32">
          <a:extLst>
            <a:ext uri="{FF2B5EF4-FFF2-40B4-BE49-F238E27FC236}">
              <a16:creationId xmlns:a16="http://schemas.microsoft.com/office/drawing/2014/main" id="{0AD11B53-AFE9-42CA-8D74-B73C93C0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314325</xdr:colOff>
      <xdr:row>12</xdr:row>
      <xdr:rowOff>57150</xdr:rowOff>
    </xdr:from>
    <xdr:to>
      <xdr:col>16</xdr:col>
      <xdr:colOff>85724</xdr:colOff>
      <xdr:row>25</xdr:row>
      <xdr:rowOff>142875</xdr:rowOff>
    </xdr:to>
    <xdr:graphicFrame macro="">
      <xdr:nvGraphicFramePr>
        <xdr:cNvPr id="34" name="Chart 33">
          <a:extLst>
            <a:ext uri="{FF2B5EF4-FFF2-40B4-BE49-F238E27FC236}">
              <a16:creationId xmlns:a16="http://schemas.microsoft.com/office/drawing/2014/main" id="{15234E09-59F3-482B-B0C9-743CB68EA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114301</xdr:colOff>
      <xdr:row>28</xdr:row>
      <xdr:rowOff>19050</xdr:rowOff>
    </xdr:from>
    <xdr:to>
      <xdr:col>13</xdr:col>
      <xdr:colOff>466725</xdr:colOff>
      <xdr:row>42</xdr:row>
      <xdr:rowOff>57149</xdr:rowOff>
    </xdr:to>
    <xdr:graphicFrame macro="">
      <xdr:nvGraphicFramePr>
        <xdr:cNvPr id="35" name="Chart 34">
          <a:extLst>
            <a:ext uri="{FF2B5EF4-FFF2-40B4-BE49-F238E27FC236}">
              <a16:creationId xmlns:a16="http://schemas.microsoft.com/office/drawing/2014/main" id="{EC6C2B6A-31A5-4EAE-8F86-31BFFE84A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352426</xdr:colOff>
      <xdr:row>0</xdr:row>
      <xdr:rowOff>66675</xdr:rowOff>
    </xdr:from>
    <xdr:to>
      <xdr:col>12</xdr:col>
      <xdr:colOff>400050</xdr:colOff>
      <xdr:row>5</xdr:row>
      <xdr:rowOff>57150</xdr:rowOff>
    </xdr:to>
    <mc:AlternateContent xmlns:mc="http://schemas.openxmlformats.org/markup-compatibility/2006" xmlns:a14="http://schemas.microsoft.com/office/drawing/2010/main">
      <mc:Choice Requires="a14">
        <xdr:graphicFrame macro="">
          <xdr:nvGraphicFramePr>
            <xdr:cNvPr id="36" name="Month Name 2">
              <a:extLst>
                <a:ext uri="{FF2B5EF4-FFF2-40B4-BE49-F238E27FC236}">
                  <a16:creationId xmlns:a16="http://schemas.microsoft.com/office/drawing/2014/main" id="{D70CC673-B444-4054-AA45-2382F96D3C4D}"/>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4619626" y="66675"/>
              <a:ext cx="3095624"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600075</xdr:colOff>
      <xdr:row>0</xdr:row>
      <xdr:rowOff>76200</xdr:rowOff>
    </xdr:from>
    <xdr:to>
      <xdr:col>16</xdr:col>
      <xdr:colOff>333375</xdr:colOff>
      <xdr:row>5</xdr:row>
      <xdr:rowOff>57150</xdr:rowOff>
    </xdr:to>
    <mc:AlternateContent xmlns:mc="http://schemas.openxmlformats.org/markup-compatibility/2006" xmlns:a14="http://schemas.microsoft.com/office/drawing/2010/main">
      <mc:Choice Requires="a14">
        <xdr:graphicFrame macro="">
          <xdr:nvGraphicFramePr>
            <xdr:cNvPr id="38" name="Region 3">
              <a:extLst>
                <a:ext uri="{FF2B5EF4-FFF2-40B4-BE49-F238E27FC236}">
                  <a16:creationId xmlns:a16="http://schemas.microsoft.com/office/drawing/2014/main" id="{3F6A8D6D-4079-44FC-BAFA-399D4E6B9B8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915275" y="76200"/>
              <a:ext cx="21717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542925</xdr:colOff>
      <xdr:row>0</xdr:row>
      <xdr:rowOff>66675</xdr:rowOff>
    </xdr:from>
    <xdr:to>
      <xdr:col>20</xdr:col>
      <xdr:colOff>466725</xdr:colOff>
      <xdr:row>5</xdr:row>
      <xdr:rowOff>66675</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AABF67DD-0709-45C8-BAF5-2B30E730DE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296525" y="66675"/>
              <a:ext cx="23622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371476</xdr:colOff>
      <xdr:row>0</xdr:row>
      <xdr:rowOff>19049</xdr:rowOff>
    </xdr:from>
    <xdr:to>
      <xdr:col>6</xdr:col>
      <xdr:colOff>285750</xdr:colOff>
      <xdr:row>3</xdr:row>
      <xdr:rowOff>180974</xdr:rowOff>
    </xdr:to>
    <xdr:pic>
      <xdr:nvPicPr>
        <xdr:cNvPr id="44" name="Picture 43">
          <a:extLst>
            <a:ext uri="{FF2B5EF4-FFF2-40B4-BE49-F238E27FC236}">
              <a16:creationId xmlns:a16="http://schemas.microsoft.com/office/drawing/2014/main" id="{9E2AF6EF-845A-481C-A98B-B6E0973882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09876" y="19049"/>
          <a:ext cx="1133474" cy="7334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83.366323032409" createdVersion="7" refreshedVersion="7" minRefreshableVersion="3" recordCount="300" xr:uid="{C1552542-8325-4979-8D33-96EC8D9A4D57}">
  <cacheSource type="worksheet">
    <worksheetSource ref="A1:L301" sheet="Sales_Data"/>
  </cacheSource>
  <cacheFields count="12">
    <cacheField name="Order_ID" numFmtId="0">
      <sharedItems containsSemiMixedTypes="0" containsString="0" containsNumber="1" containsInteger="1" minValue="1001" maxValue="1300"/>
    </cacheField>
    <cacheField name="Order_Date" numFmtId="0">
      <sharedItems/>
    </cacheField>
    <cacheField name="Region" numFmtId="0">
      <sharedItems count="4">
        <s v="South"/>
        <s v="East"/>
        <s v="North"/>
        <s v="West"/>
      </sharedItems>
    </cacheField>
    <cacheField name="Salesperson" numFmtId="0">
      <sharedItems count="6">
        <s v="Priya"/>
        <s v="Karan"/>
        <s v="Riya"/>
        <s v="Sneha"/>
        <s v="Rahul"/>
        <s v="Amit"/>
      </sharedItems>
    </cacheField>
    <cacheField name="Product" numFmtId="0">
      <sharedItems count="7">
        <s v="Sofa"/>
        <s v="Printer"/>
        <s v="Laptop"/>
        <s v="Tablet"/>
        <s v="Mobile"/>
        <s v="Chair"/>
        <s v="Desk"/>
      </sharedItems>
    </cacheField>
    <cacheField name="Category" numFmtId="0">
      <sharedItems count="2">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43" maxValue="52952"/>
    </cacheField>
    <cacheField name="Total Sales" numFmtId="0">
      <sharedItems containsSemiMixedTypes="0" containsString="0" containsNumber="1" containsInteger="1" minValue="421" maxValue="522580"/>
    </cacheField>
    <cacheField name="Sales_Segment" numFmtId="0">
      <sharedItems/>
    </cacheField>
    <cacheField name="Year-Month" numFmtId="0">
      <sharedItems/>
    </cacheField>
    <cacheField name="Month Name" numFmtId="0">
      <sharedItems count="6">
        <s v="January"/>
        <s v="April"/>
        <s v="February"/>
        <s v="March"/>
        <s v="June"/>
        <s v="May"/>
      </sharedItems>
    </cacheField>
  </cacheFields>
  <extLst>
    <ext xmlns:x14="http://schemas.microsoft.com/office/spreadsheetml/2009/9/main" uri="{725AE2AE-9491-48be-B2B4-4EB974FC3084}">
      <x14:pivotCacheDefinition pivotCacheId="294092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2024-01-09"/>
    <x v="0"/>
    <x v="0"/>
    <x v="0"/>
    <x v="0"/>
    <n v="3"/>
    <n v="24676"/>
    <n v="74028"/>
    <s v="Normal"/>
    <s v="2024-01"/>
    <x v="0"/>
  </r>
  <r>
    <n v="1002"/>
    <s v="2024-04-21"/>
    <x v="1"/>
    <x v="1"/>
    <x v="1"/>
    <x v="1"/>
    <n v="2"/>
    <n v="13955"/>
    <n v="27910"/>
    <s v="Normal"/>
    <s v="2024-04"/>
    <x v="1"/>
  </r>
  <r>
    <n v="1003"/>
    <s v="2024-02-23"/>
    <x v="2"/>
    <x v="0"/>
    <x v="2"/>
    <x v="1"/>
    <n v="8"/>
    <n v="49847"/>
    <n v="398776"/>
    <s v="High"/>
    <s v="2024-02"/>
    <x v="2"/>
  </r>
  <r>
    <n v="1004"/>
    <s v="2024-04-29"/>
    <x v="0"/>
    <x v="0"/>
    <x v="1"/>
    <x v="1"/>
    <n v="1"/>
    <n v="15273"/>
    <n v="15273"/>
    <s v="Normal"/>
    <s v="2024-04"/>
    <x v="1"/>
  </r>
  <r>
    <n v="1005"/>
    <s v="2024-02-19"/>
    <x v="1"/>
    <x v="1"/>
    <x v="3"/>
    <x v="1"/>
    <n v="10"/>
    <n v="30244"/>
    <n v="302440"/>
    <s v="High"/>
    <s v="2024-02"/>
    <x v="2"/>
  </r>
  <r>
    <n v="1006"/>
    <s v="2024-03-15"/>
    <x v="1"/>
    <x v="1"/>
    <x v="4"/>
    <x v="1"/>
    <n v="7"/>
    <n v="19477"/>
    <n v="136339"/>
    <s v="High"/>
    <s v="2024-03"/>
    <x v="3"/>
  </r>
  <r>
    <n v="1007"/>
    <s v="2024-06-21"/>
    <x v="3"/>
    <x v="1"/>
    <x v="2"/>
    <x v="1"/>
    <n v="6"/>
    <n v="52724"/>
    <n v="316344"/>
    <s v="High"/>
    <s v="2024-06"/>
    <x v="4"/>
  </r>
  <r>
    <n v="1008"/>
    <s v="2024-01-28"/>
    <x v="1"/>
    <x v="2"/>
    <x v="1"/>
    <x v="1"/>
    <n v="4"/>
    <n v="14475"/>
    <n v="57900"/>
    <s v="Normal"/>
    <s v="2024-01"/>
    <x v="0"/>
  </r>
  <r>
    <n v="1009"/>
    <s v="2024-05-26"/>
    <x v="0"/>
    <x v="3"/>
    <x v="5"/>
    <x v="0"/>
    <n v="8"/>
    <n v="1939"/>
    <n v="15512"/>
    <s v="Normal"/>
    <s v="2024-05"/>
    <x v="5"/>
  </r>
  <r>
    <n v="1010"/>
    <s v="2024-06-15"/>
    <x v="0"/>
    <x v="2"/>
    <x v="2"/>
    <x v="1"/>
    <n v="8"/>
    <n v="50499"/>
    <n v="403992"/>
    <s v="High"/>
    <s v="2024-06"/>
    <x v="4"/>
  </r>
  <r>
    <n v="1011"/>
    <s v="2024-02-12"/>
    <x v="2"/>
    <x v="2"/>
    <x v="6"/>
    <x v="0"/>
    <n v="2"/>
    <n v="8542"/>
    <n v="17084"/>
    <s v="Normal"/>
    <s v="2024-02"/>
    <x v="2"/>
  </r>
  <r>
    <n v="1012"/>
    <s v="2024-03-29"/>
    <x v="3"/>
    <x v="2"/>
    <x v="2"/>
    <x v="1"/>
    <n v="8"/>
    <n v="48393"/>
    <n v="387144"/>
    <s v="High"/>
    <s v="2024-03"/>
    <x v="3"/>
  </r>
  <r>
    <n v="1013"/>
    <s v="2024-04-08"/>
    <x v="2"/>
    <x v="2"/>
    <x v="5"/>
    <x v="0"/>
    <n v="6"/>
    <n v="564"/>
    <n v="3384"/>
    <s v="Normal"/>
    <s v="2024-04"/>
    <x v="1"/>
  </r>
  <r>
    <n v="1014"/>
    <s v="2024-05-27"/>
    <x v="2"/>
    <x v="1"/>
    <x v="2"/>
    <x v="1"/>
    <n v="5"/>
    <n v="49096"/>
    <n v="245480"/>
    <s v="High"/>
    <s v="2024-05"/>
    <x v="5"/>
  </r>
  <r>
    <n v="1015"/>
    <s v="2024-06-02"/>
    <x v="1"/>
    <x v="0"/>
    <x v="3"/>
    <x v="1"/>
    <n v="3"/>
    <n v="28982"/>
    <n v="86946"/>
    <s v="Normal"/>
    <s v="2024-06"/>
    <x v="4"/>
  </r>
  <r>
    <n v="1016"/>
    <s v="2024-03-02"/>
    <x v="3"/>
    <x v="1"/>
    <x v="6"/>
    <x v="0"/>
    <n v="1"/>
    <n v="9347"/>
    <n v="9347"/>
    <s v="Normal"/>
    <s v="2024-03"/>
    <x v="3"/>
  </r>
  <r>
    <n v="1017"/>
    <s v="2024-05-29"/>
    <x v="1"/>
    <x v="4"/>
    <x v="0"/>
    <x v="0"/>
    <n v="7"/>
    <n v="27308"/>
    <n v="191156"/>
    <s v="High"/>
    <s v="2024-05"/>
    <x v="5"/>
  </r>
  <r>
    <n v="1018"/>
    <s v="2024-05-10"/>
    <x v="1"/>
    <x v="0"/>
    <x v="0"/>
    <x v="0"/>
    <n v="3"/>
    <n v="24432"/>
    <n v="73296"/>
    <s v="Normal"/>
    <s v="2024-05"/>
    <x v="5"/>
  </r>
  <r>
    <n v="1019"/>
    <s v="2024-01-07"/>
    <x v="0"/>
    <x v="2"/>
    <x v="4"/>
    <x v="1"/>
    <n v="1"/>
    <n v="18393"/>
    <n v="18393"/>
    <s v="Normal"/>
    <s v="2024-01"/>
    <x v="0"/>
  </r>
  <r>
    <n v="1020"/>
    <s v="2024-01-18"/>
    <x v="1"/>
    <x v="4"/>
    <x v="4"/>
    <x v="1"/>
    <n v="1"/>
    <n v="18574"/>
    <n v="18574"/>
    <s v="Normal"/>
    <s v="2024-01"/>
    <x v="0"/>
  </r>
  <r>
    <n v="1021"/>
    <s v="2024-04-06"/>
    <x v="0"/>
    <x v="3"/>
    <x v="6"/>
    <x v="0"/>
    <n v="9"/>
    <n v="7786"/>
    <n v="70074"/>
    <s v="Normal"/>
    <s v="2024-04"/>
    <x v="1"/>
  </r>
  <r>
    <n v="1022"/>
    <s v="2024-03-17"/>
    <x v="2"/>
    <x v="3"/>
    <x v="0"/>
    <x v="0"/>
    <n v="7"/>
    <n v="24826"/>
    <n v="173782"/>
    <s v="High"/>
    <s v="2024-03"/>
    <x v="3"/>
  </r>
  <r>
    <n v="1023"/>
    <s v="2024-05-29"/>
    <x v="3"/>
    <x v="0"/>
    <x v="0"/>
    <x v="0"/>
    <n v="9"/>
    <n v="27718"/>
    <n v="249462"/>
    <s v="High"/>
    <s v="2024-05"/>
    <x v="5"/>
  </r>
  <r>
    <n v="1024"/>
    <s v="2024-04-24"/>
    <x v="1"/>
    <x v="5"/>
    <x v="2"/>
    <x v="1"/>
    <n v="10"/>
    <n v="52258"/>
    <n v="522580"/>
    <s v="High"/>
    <s v="2024-04"/>
    <x v="1"/>
  </r>
  <r>
    <n v="1025"/>
    <s v="2024-06-25"/>
    <x v="2"/>
    <x v="4"/>
    <x v="2"/>
    <x v="1"/>
    <n v="2"/>
    <n v="52428"/>
    <n v="104856"/>
    <s v="High"/>
    <s v="2024-06"/>
    <x v="4"/>
  </r>
  <r>
    <n v="1026"/>
    <s v="2024-01-15"/>
    <x v="2"/>
    <x v="0"/>
    <x v="4"/>
    <x v="1"/>
    <n v="5"/>
    <n v="22355"/>
    <n v="111775"/>
    <s v="High"/>
    <s v="2024-01"/>
    <x v="0"/>
  </r>
  <r>
    <n v="1027"/>
    <s v="2024-02-05"/>
    <x v="2"/>
    <x v="0"/>
    <x v="3"/>
    <x v="1"/>
    <n v="8"/>
    <n v="28350"/>
    <n v="226800"/>
    <s v="High"/>
    <s v="2024-02"/>
    <x v="2"/>
  </r>
  <r>
    <n v="1028"/>
    <s v="2024-02-23"/>
    <x v="1"/>
    <x v="4"/>
    <x v="6"/>
    <x v="0"/>
    <n v="9"/>
    <n v="9306"/>
    <n v="83754"/>
    <s v="Normal"/>
    <s v="2024-02"/>
    <x v="2"/>
  </r>
  <r>
    <n v="1029"/>
    <s v="2024-06-13"/>
    <x v="0"/>
    <x v="2"/>
    <x v="1"/>
    <x v="1"/>
    <n v="10"/>
    <n v="13512"/>
    <n v="135120"/>
    <s v="High"/>
    <s v="2024-06"/>
    <x v="4"/>
  </r>
  <r>
    <n v="1030"/>
    <s v="2024-04-20"/>
    <x v="1"/>
    <x v="1"/>
    <x v="1"/>
    <x v="1"/>
    <n v="9"/>
    <n v="14098"/>
    <n v="126882"/>
    <s v="High"/>
    <s v="2024-04"/>
    <x v="1"/>
  </r>
  <r>
    <n v="1031"/>
    <s v="2024-01-09"/>
    <x v="3"/>
    <x v="0"/>
    <x v="6"/>
    <x v="0"/>
    <n v="5"/>
    <n v="6938"/>
    <n v="34690"/>
    <s v="Normal"/>
    <s v="2024-01"/>
    <x v="0"/>
  </r>
  <r>
    <n v="1032"/>
    <s v="2024-02-24"/>
    <x v="0"/>
    <x v="0"/>
    <x v="6"/>
    <x v="0"/>
    <n v="2"/>
    <n v="8112"/>
    <n v="16224"/>
    <s v="Normal"/>
    <s v="2024-02"/>
    <x v="2"/>
  </r>
  <r>
    <n v="1033"/>
    <s v="2024-01-01"/>
    <x v="0"/>
    <x v="1"/>
    <x v="2"/>
    <x v="1"/>
    <n v="8"/>
    <n v="49994"/>
    <n v="399952"/>
    <s v="High"/>
    <s v="2024-01"/>
    <x v="0"/>
  </r>
  <r>
    <n v="1034"/>
    <s v="2024-03-04"/>
    <x v="1"/>
    <x v="1"/>
    <x v="2"/>
    <x v="1"/>
    <n v="3"/>
    <n v="50084"/>
    <n v="150252"/>
    <s v="High"/>
    <s v="2024-03"/>
    <x v="3"/>
  </r>
  <r>
    <n v="1035"/>
    <s v="2024-02-18"/>
    <x v="3"/>
    <x v="3"/>
    <x v="4"/>
    <x v="1"/>
    <n v="8"/>
    <n v="18531"/>
    <n v="148248"/>
    <s v="High"/>
    <s v="2024-02"/>
    <x v="2"/>
  </r>
  <r>
    <n v="1036"/>
    <s v="2024-03-10"/>
    <x v="3"/>
    <x v="1"/>
    <x v="5"/>
    <x v="0"/>
    <n v="9"/>
    <n v="1820"/>
    <n v="16380"/>
    <s v="Normal"/>
    <s v="2024-03"/>
    <x v="3"/>
  </r>
  <r>
    <n v="1037"/>
    <s v="2024-04-07"/>
    <x v="0"/>
    <x v="1"/>
    <x v="1"/>
    <x v="1"/>
    <n v="6"/>
    <n v="17688"/>
    <n v="106128"/>
    <s v="High"/>
    <s v="2024-04"/>
    <x v="1"/>
  </r>
  <r>
    <n v="1038"/>
    <s v="2024-06-10"/>
    <x v="2"/>
    <x v="1"/>
    <x v="3"/>
    <x v="1"/>
    <n v="10"/>
    <n v="30984"/>
    <n v="309840"/>
    <s v="High"/>
    <s v="2024-06"/>
    <x v="4"/>
  </r>
  <r>
    <n v="1039"/>
    <s v="2024-04-06"/>
    <x v="1"/>
    <x v="3"/>
    <x v="1"/>
    <x v="1"/>
    <n v="5"/>
    <n v="14256"/>
    <n v="71280"/>
    <s v="Normal"/>
    <s v="2024-04"/>
    <x v="1"/>
  </r>
  <r>
    <n v="1040"/>
    <s v="2024-01-04"/>
    <x v="1"/>
    <x v="0"/>
    <x v="0"/>
    <x v="0"/>
    <n v="7"/>
    <n v="27289"/>
    <n v="191023"/>
    <s v="High"/>
    <s v="2024-01"/>
    <x v="0"/>
  </r>
  <r>
    <n v="1041"/>
    <s v="2024-05-20"/>
    <x v="2"/>
    <x v="1"/>
    <x v="0"/>
    <x v="0"/>
    <n v="10"/>
    <n v="23547"/>
    <n v="235470"/>
    <s v="High"/>
    <s v="2024-05"/>
    <x v="5"/>
  </r>
  <r>
    <n v="1042"/>
    <s v="2024-03-01"/>
    <x v="2"/>
    <x v="5"/>
    <x v="4"/>
    <x v="1"/>
    <n v="5"/>
    <n v="19412"/>
    <n v="97060"/>
    <s v="Normal"/>
    <s v="2024-03"/>
    <x v="3"/>
  </r>
  <r>
    <n v="1043"/>
    <s v="2024-03-29"/>
    <x v="2"/>
    <x v="5"/>
    <x v="2"/>
    <x v="1"/>
    <n v="1"/>
    <n v="50980"/>
    <n v="50980"/>
    <s v="Normal"/>
    <s v="2024-03"/>
    <x v="3"/>
  </r>
  <r>
    <n v="1044"/>
    <s v="2024-03-24"/>
    <x v="1"/>
    <x v="1"/>
    <x v="4"/>
    <x v="1"/>
    <n v="8"/>
    <n v="19990"/>
    <n v="159920"/>
    <s v="High"/>
    <s v="2024-03"/>
    <x v="3"/>
  </r>
  <r>
    <n v="1045"/>
    <s v="2024-03-13"/>
    <x v="2"/>
    <x v="0"/>
    <x v="3"/>
    <x v="1"/>
    <n v="2"/>
    <n v="29879"/>
    <n v="59758"/>
    <s v="Normal"/>
    <s v="2024-03"/>
    <x v="3"/>
  </r>
  <r>
    <n v="1046"/>
    <s v="2024-06-12"/>
    <x v="2"/>
    <x v="3"/>
    <x v="5"/>
    <x v="0"/>
    <n v="6"/>
    <n v="4419"/>
    <n v="26514"/>
    <s v="Normal"/>
    <s v="2024-06"/>
    <x v="4"/>
  </r>
  <r>
    <n v="1047"/>
    <s v="2024-01-25"/>
    <x v="0"/>
    <x v="3"/>
    <x v="5"/>
    <x v="0"/>
    <n v="10"/>
    <n v="3255"/>
    <n v="32550"/>
    <s v="Normal"/>
    <s v="2024-01"/>
    <x v="0"/>
  </r>
  <r>
    <n v="1048"/>
    <s v="2024-05-06"/>
    <x v="2"/>
    <x v="4"/>
    <x v="0"/>
    <x v="0"/>
    <n v="8"/>
    <n v="24971"/>
    <n v="199768"/>
    <s v="High"/>
    <s v="2024-05"/>
    <x v="5"/>
  </r>
  <r>
    <n v="1049"/>
    <s v="2024-03-30"/>
    <x v="2"/>
    <x v="4"/>
    <x v="4"/>
    <x v="1"/>
    <n v="4"/>
    <n v="20133"/>
    <n v="80532"/>
    <s v="Normal"/>
    <s v="2024-03"/>
    <x v="3"/>
  </r>
  <r>
    <n v="1050"/>
    <s v="2024-04-02"/>
    <x v="3"/>
    <x v="4"/>
    <x v="2"/>
    <x v="1"/>
    <n v="5"/>
    <n v="50819"/>
    <n v="254095"/>
    <s v="High"/>
    <s v="2024-04"/>
    <x v="1"/>
  </r>
  <r>
    <n v="1051"/>
    <s v="2024-03-07"/>
    <x v="0"/>
    <x v="3"/>
    <x v="4"/>
    <x v="1"/>
    <n v="10"/>
    <n v="21296"/>
    <n v="212960"/>
    <s v="High"/>
    <s v="2024-03"/>
    <x v="3"/>
  </r>
  <r>
    <n v="1052"/>
    <s v="2024-03-26"/>
    <x v="1"/>
    <x v="0"/>
    <x v="6"/>
    <x v="0"/>
    <n v="9"/>
    <n v="9249"/>
    <n v="83241"/>
    <s v="Normal"/>
    <s v="2024-03"/>
    <x v="3"/>
  </r>
  <r>
    <n v="1053"/>
    <s v="2024-03-04"/>
    <x v="3"/>
    <x v="4"/>
    <x v="3"/>
    <x v="1"/>
    <n v="2"/>
    <n v="30691"/>
    <n v="61382"/>
    <s v="Normal"/>
    <s v="2024-03"/>
    <x v="3"/>
  </r>
  <r>
    <n v="1054"/>
    <s v="2024-05-19"/>
    <x v="1"/>
    <x v="4"/>
    <x v="4"/>
    <x v="1"/>
    <n v="1"/>
    <n v="18979"/>
    <n v="18979"/>
    <s v="Normal"/>
    <s v="2024-05"/>
    <x v="5"/>
  </r>
  <r>
    <n v="1055"/>
    <s v="2024-01-29"/>
    <x v="3"/>
    <x v="2"/>
    <x v="0"/>
    <x v="0"/>
    <n v="10"/>
    <n v="25521"/>
    <n v="255210"/>
    <s v="High"/>
    <s v="2024-01"/>
    <x v="0"/>
  </r>
  <r>
    <n v="1056"/>
    <s v="2024-05-12"/>
    <x v="1"/>
    <x v="4"/>
    <x v="3"/>
    <x v="1"/>
    <n v="5"/>
    <n v="32101"/>
    <n v="160505"/>
    <s v="High"/>
    <s v="2024-05"/>
    <x v="5"/>
  </r>
  <r>
    <n v="1057"/>
    <s v="2024-01-08"/>
    <x v="0"/>
    <x v="4"/>
    <x v="6"/>
    <x v="0"/>
    <n v="1"/>
    <n v="6381"/>
    <n v="6381"/>
    <s v="Normal"/>
    <s v="2024-01"/>
    <x v="0"/>
  </r>
  <r>
    <n v="1058"/>
    <s v="2024-04-05"/>
    <x v="2"/>
    <x v="0"/>
    <x v="5"/>
    <x v="0"/>
    <n v="6"/>
    <n v="4012"/>
    <n v="24072"/>
    <s v="Normal"/>
    <s v="2024-04"/>
    <x v="1"/>
  </r>
  <r>
    <n v="1059"/>
    <s v="2024-06-20"/>
    <x v="3"/>
    <x v="5"/>
    <x v="2"/>
    <x v="1"/>
    <n v="8"/>
    <n v="52411"/>
    <n v="419288"/>
    <s v="High"/>
    <s v="2024-06"/>
    <x v="4"/>
  </r>
  <r>
    <n v="1060"/>
    <s v="2024-03-07"/>
    <x v="2"/>
    <x v="3"/>
    <x v="3"/>
    <x v="1"/>
    <n v="7"/>
    <n v="30077"/>
    <n v="210539"/>
    <s v="High"/>
    <s v="2024-03"/>
    <x v="3"/>
  </r>
  <r>
    <n v="1061"/>
    <s v="2024-06-29"/>
    <x v="3"/>
    <x v="4"/>
    <x v="4"/>
    <x v="1"/>
    <n v="3"/>
    <n v="21576"/>
    <n v="64728"/>
    <s v="Normal"/>
    <s v="2024-06"/>
    <x v="4"/>
  </r>
  <r>
    <n v="1062"/>
    <s v="2024-01-31"/>
    <x v="1"/>
    <x v="0"/>
    <x v="0"/>
    <x v="0"/>
    <n v="9"/>
    <n v="23039"/>
    <n v="207351"/>
    <s v="High"/>
    <s v="2024-01"/>
    <x v="0"/>
  </r>
  <r>
    <n v="1063"/>
    <s v="2024-05-07"/>
    <x v="1"/>
    <x v="3"/>
    <x v="3"/>
    <x v="1"/>
    <n v="5"/>
    <n v="30371"/>
    <n v="151855"/>
    <s v="High"/>
    <s v="2024-05"/>
    <x v="5"/>
  </r>
  <r>
    <n v="1064"/>
    <s v="2024-03-15"/>
    <x v="2"/>
    <x v="1"/>
    <x v="5"/>
    <x v="0"/>
    <n v="1"/>
    <n v="421"/>
    <n v="421"/>
    <s v="Normal"/>
    <s v="2024-03"/>
    <x v="3"/>
  </r>
  <r>
    <n v="1065"/>
    <s v="2024-04-21"/>
    <x v="0"/>
    <x v="4"/>
    <x v="6"/>
    <x v="0"/>
    <n v="9"/>
    <n v="7180"/>
    <n v="64620"/>
    <s v="Normal"/>
    <s v="2024-04"/>
    <x v="1"/>
  </r>
  <r>
    <n v="1066"/>
    <s v="2024-06-12"/>
    <x v="3"/>
    <x v="2"/>
    <x v="0"/>
    <x v="0"/>
    <n v="10"/>
    <n v="26723"/>
    <n v="267230"/>
    <s v="High"/>
    <s v="2024-06"/>
    <x v="4"/>
  </r>
  <r>
    <n v="1067"/>
    <s v="2024-03-11"/>
    <x v="3"/>
    <x v="1"/>
    <x v="2"/>
    <x v="1"/>
    <n v="9"/>
    <n v="50050"/>
    <n v="450450"/>
    <s v="High"/>
    <s v="2024-03"/>
    <x v="3"/>
  </r>
  <r>
    <n v="1068"/>
    <s v="2024-06-28"/>
    <x v="2"/>
    <x v="2"/>
    <x v="5"/>
    <x v="0"/>
    <n v="5"/>
    <n v="3513"/>
    <n v="17565"/>
    <s v="Normal"/>
    <s v="2024-06"/>
    <x v="4"/>
  </r>
  <r>
    <n v="1069"/>
    <s v="2024-05-30"/>
    <x v="1"/>
    <x v="4"/>
    <x v="2"/>
    <x v="1"/>
    <n v="8"/>
    <n v="52234"/>
    <n v="417872"/>
    <s v="High"/>
    <s v="2024-05"/>
    <x v="5"/>
  </r>
  <r>
    <n v="1070"/>
    <s v="2024-05-01"/>
    <x v="0"/>
    <x v="4"/>
    <x v="0"/>
    <x v="0"/>
    <n v="6"/>
    <n v="26727"/>
    <n v="160362"/>
    <s v="High"/>
    <s v="2024-05"/>
    <x v="5"/>
  </r>
  <r>
    <n v="1071"/>
    <s v="2024-06-22"/>
    <x v="1"/>
    <x v="4"/>
    <x v="5"/>
    <x v="0"/>
    <n v="2"/>
    <n v="2082"/>
    <n v="4164"/>
    <s v="Normal"/>
    <s v="2024-06"/>
    <x v="4"/>
  </r>
  <r>
    <n v="1072"/>
    <s v="2024-01-23"/>
    <x v="0"/>
    <x v="1"/>
    <x v="2"/>
    <x v="1"/>
    <n v="4"/>
    <n v="49984"/>
    <n v="199936"/>
    <s v="High"/>
    <s v="2024-01"/>
    <x v="0"/>
  </r>
  <r>
    <n v="1073"/>
    <s v="2024-02-23"/>
    <x v="3"/>
    <x v="5"/>
    <x v="0"/>
    <x v="0"/>
    <n v="1"/>
    <n v="23904"/>
    <n v="23904"/>
    <s v="Normal"/>
    <s v="2024-02"/>
    <x v="2"/>
  </r>
  <r>
    <n v="1074"/>
    <s v="2024-01-21"/>
    <x v="0"/>
    <x v="0"/>
    <x v="6"/>
    <x v="0"/>
    <n v="2"/>
    <n v="5653"/>
    <n v="11306"/>
    <s v="Normal"/>
    <s v="2024-01"/>
    <x v="0"/>
  </r>
  <r>
    <n v="1075"/>
    <s v="2024-01-25"/>
    <x v="1"/>
    <x v="4"/>
    <x v="2"/>
    <x v="1"/>
    <n v="6"/>
    <n v="48800"/>
    <n v="292800"/>
    <s v="High"/>
    <s v="2024-01"/>
    <x v="0"/>
  </r>
  <r>
    <n v="1076"/>
    <s v="2024-02-08"/>
    <x v="0"/>
    <x v="0"/>
    <x v="2"/>
    <x v="1"/>
    <n v="8"/>
    <n v="48578"/>
    <n v="388624"/>
    <s v="High"/>
    <s v="2024-02"/>
    <x v="2"/>
  </r>
  <r>
    <n v="1077"/>
    <s v="2024-05-15"/>
    <x v="0"/>
    <x v="4"/>
    <x v="3"/>
    <x v="1"/>
    <n v="2"/>
    <n v="28100"/>
    <n v="56200"/>
    <s v="Normal"/>
    <s v="2024-05"/>
    <x v="5"/>
  </r>
  <r>
    <n v="1078"/>
    <s v="2024-04-30"/>
    <x v="2"/>
    <x v="1"/>
    <x v="4"/>
    <x v="1"/>
    <n v="10"/>
    <n v="20007"/>
    <n v="200070"/>
    <s v="High"/>
    <s v="2024-04"/>
    <x v="1"/>
  </r>
  <r>
    <n v="1079"/>
    <s v="2024-01-21"/>
    <x v="2"/>
    <x v="3"/>
    <x v="5"/>
    <x v="0"/>
    <n v="7"/>
    <n v="800"/>
    <n v="5600"/>
    <s v="Normal"/>
    <s v="2024-01"/>
    <x v="0"/>
  </r>
  <r>
    <n v="1080"/>
    <s v="2024-03-03"/>
    <x v="2"/>
    <x v="5"/>
    <x v="6"/>
    <x v="0"/>
    <n v="7"/>
    <n v="8851"/>
    <n v="61957"/>
    <s v="Normal"/>
    <s v="2024-03"/>
    <x v="3"/>
  </r>
  <r>
    <n v="1081"/>
    <s v="2024-03-11"/>
    <x v="2"/>
    <x v="3"/>
    <x v="5"/>
    <x v="0"/>
    <n v="8"/>
    <n v="4829"/>
    <n v="38632"/>
    <s v="Normal"/>
    <s v="2024-03"/>
    <x v="3"/>
  </r>
  <r>
    <n v="1082"/>
    <s v="2024-05-01"/>
    <x v="1"/>
    <x v="3"/>
    <x v="0"/>
    <x v="0"/>
    <n v="5"/>
    <n v="26389"/>
    <n v="131945"/>
    <s v="High"/>
    <s v="2024-05"/>
    <x v="5"/>
  </r>
  <r>
    <n v="1083"/>
    <s v="2024-03-04"/>
    <x v="3"/>
    <x v="2"/>
    <x v="6"/>
    <x v="0"/>
    <n v="6"/>
    <n v="6485"/>
    <n v="38910"/>
    <s v="Normal"/>
    <s v="2024-03"/>
    <x v="3"/>
  </r>
  <r>
    <n v="1084"/>
    <s v="2024-06-08"/>
    <x v="1"/>
    <x v="0"/>
    <x v="6"/>
    <x v="0"/>
    <n v="7"/>
    <n v="8449"/>
    <n v="59143"/>
    <s v="Normal"/>
    <s v="2024-06"/>
    <x v="4"/>
  </r>
  <r>
    <n v="1085"/>
    <s v="2024-06-02"/>
    <x v="0"/>
    <x v="3"/>
    <x v="2"/>
    <x v="1"/>
    <n v="10"/>
    <n v="48047"/>
    <n v="480470"/>
    <s v="High"/>
    <s v="2024-06"/>
    <x v="4"/>
  </r>
  <r>
    <n v="1086"/>
    <s v="2024-02-14"/>
    <x v="3"/>
    <x v="4"/>
    <x v="1"/>
    <x v="1"/>
    <n v="6"/>
    <n v="17389"/>
    <n v="104334"/>
    <s v="High"/>
    <s v="2024-02"/>
    <x v="2"/>
  </r>
  <r>
    <n v="1087"/>
    <s v="2024-01-19"/>
    <x v="2"/>
    <x v="1"/>
    <x v="6"/>
    <x v="0"/>
    <n v="1"/>
    <n v="7245"/>
    <n v="7245"/>
    <s v="Normal"/>
    <s v="2024-01"/>
    <x v="0"/>
  </r>
  <r>
    <n v="1088"/>
    <s v="2024-02-20"/>
    <x v="2"/>
    <x v="4"/>
    <x v="5"/>
    <x v="0"/>
    <n v="1"/>
    <n v="2745"/>
    <n v="2745"/>
    <s v="Normal"/>
    <s v="2024-02"/>
    <x v="2"/>
  </r>
  <r>
    <n v="1089"/>
    <s v="2024-06-07"/>
    <x v="1"/>
    <x v="3"/>
    <x v="4"/>
    <x v="1"/>
    <n v="10"/>
    <n v="18563"/>
    <n v="185630"/>
    <s v="High"/>
    <s v="2024-06"/>
    <x v="4"/>
  </r>
  <r>
    <n v="1090"/>
    <s v="2024-03-25"/>
    <x v="3"/>
    <x v="0"/>
    <x v="0"/>
    <x v="0"/>
    <n v="9"/>
    <n v="27492"/>
    <n v="247428"/>
    <s v="High"/>
    <s v="2024-03"/>
    <x v="3"/>
  </r>
  <r>
    <n v="1091"/>
    <s v="2024-01-11"/>
    <x v="1"/>
    <x v="3"/>
    <x v="2"/>
    <x v="1"/>
    <n v="7"/>
    <n v="48556"/>
    <n v="339892"/>
    <s v="High"/>
    <s v="2024-01"/>
    <x v="0"/>
  </r>
  <r>
    <n v="1092"/>
    <s v="2024-05-23"/>
    <x v="1"/>
    <x v="0"/>
    <x v="5"/>
    <x v="0"/>
    <n v="5"/>
    <n v="1956"/>
    <n v="9780"/>
    <s v="Normal"/>
    <s v="2024-05"/>
    <x v="5"/>
  </r>
  <r>
    <n v="1093"/>
    <s v="2024-02-03"/>
    <x v="3"/>
    <x v="0"/>
    <x v="1"/>
    <x v="1"/>
    <n v="3"/>
    <n v="17475"/>
    <n v="52425"/>
    <s v="Normal"/>
    <s v="2024-02"/>
    <x v="2"/>
  </r>
  <r>
    <n v="1094"/>
    <s v="2024-05-21"/>
    <x v="0"/>
    <x v="1"/>
    <x v="6"/>
    <x v="0"/>
    <n v="1"/>
    <n v="6931"/>
    <n v="6931"/>
    <s v="Normal"/>
    <s v="2024-05"/>
    <x v="5"/>
  </r>
  <r>
    <n v="1095"/>
    <s v="2024-06-08"/>
    <x v="2"/>
    <x v="0"/>
    <x v="5"/>
    <x v="0"/>
    <n v="6"/>
    <n v="1691"/>
    <n v="10146"/>
    <s v="Normal"/>
    <s v="2024-06"/>
    <x v="4"/>
  </r>
  <r>
    <n v="1096"/>
    <s v="2024-02-10"/>
    <x v="2"/>
    <x v="5"/>
    <x v="2"/>
    <x v="1"/>
    <n v="4"/>
    <n v="48855"/>
    <n v="195420"/>
    <s v="High"/>
    <s v="2024-02"/>
    <x v="2"/>
  </r>
  <r>
    <n v="1097"/>
    <s v="2024-02-05"/>
    <x v="2"/>
    <x v="0"/>
    <x v="2"/>
    <x v="1"/>
    <n v="5"/>
    <n v="52433"/>
    <n v="262165"/>
    <s v="High"/>
    <s v="2024-02"/>
    <x v="2"/>
  </r>
  <r>
    <n v="1098"/>
    <s v="2024-06-29"/>
    <x v="1"/>
    <x v="5"/>
    <x v="4"/>
    <x v="1"/>
    <n v="3"/>
    <n v="18257"/>
    <n v="54771"/>
    <s v="Normal"/>
    <s v="2024-06"/>
    <x v="4"/>
  </r>
  <r>
    <n v="1099"/>
    <s v="2024-03-28"/>
    <x v="3"/>
    <x v="5"/>
    <x v="0"/>
    <x v="0"/>
    <n v="5"/>
    <n v="26315"/>
    <n v="131575"/>
    <s v="High"/>
    <s v="2024-03"/>
    <x v="3"/>
  </r>
  <r>
    <n v="1100"/>
    <s v="2024-01-06"/>
    <x v="2"/>
    <x v="0"/>
    <x v="5"/>
    <x v="0"/>
    <n v="9"/>
    <n v="1661"/>
    <n v="14949"/>
    <s v="Normal"/>
    <s v="2024-01"/>
    <x v="0"/>
  </r>
  <r>
    <n v="1101"/>
    <s v="2024-03-08"/>
    <x v="1"/>
    <x v="5"/>
    <x v="3"/>
    <x v="1"/>
    <n v="1"/>
    <n v="30285"/>
    <n v="30285"/>
    <s v="Normal"/>
    <s v="2024-03"/>
    <x v="3"/>
  </r>
  <r>
    <n v="1102"/>
    <s v="2024-06-17"/>
    <x v="1"/>
    <x v="3"/>
    <x v="2"/>
    <x v="1"/>
    <n v="1"/>
    <n v="48142"/>
    <n v="48142"/>
    <s v="Normal"/>
    <s v="2024-06"/>
    <x v="4"/>
  </r>
  <r>
    <n v="1103"/>
    <s v="2024-05-02"/>
    <x v="1"/>
    <x v="0"/>
    <x v="5"/>
    <x v="0"/>
    <n v="8"/>
    <n v="3877"/>
    <n v="31016"/>
    <s v="Normal"/>
    <s v="2024-05"/>
    <x v="5"/>
  </r>
  <r>
    <n v="1104"/>
    <s v="2024-03-22"/>
    <x v="3"/>
    <x v="4"/>
    <x v="3"/>
    <x v="1"/>
    <n v="4"/>
    <n v="31088"/>
    <n v="124352"/>
    <s v="High"/>
    <s v="2024-03"/>
    <x v="3"/>
  </r>
  <r>
    <n v="1105"/>
    <s v="2024-06-10"/>
    <x v="0"/>
    <x v="0"/>
    <x v="3"/>
    <x v="1"/>
    <n v="3"/>
    <n v="28279"/>
    <n v="84837"/>
    <s v="Normal"/>
    <s v="2024-06"/>
    <x v="4"/>
  </r>
  <r>
    <n v="1106"/>
    <s v="2024-06-16"/>
    <x v="1"/>
    <x v="5"/>
    <x v="0"/>
    <x v="0"/>
    <n v="3"/>
    <n v="26040"/>
    <n v="78120"/>
    <s v="Normal"/>
    <s v="2024-06"/>
    <x v="4"/>
  </r>
  <r>
    <n v="1107"/>
    <s v="2024-05-22"/>
    <x v="1"/>
    <x v="1"/>
    <x v="3"/>
    <x v="1"/>
    <n v="5"/>
    <n v="28375"/>
    <n v="141875"/>
    <s v="High"/>
    <s v="2024-05"/>
    <x v="5"/>
  </r>
  <r>
    <n v="1108"/>
    <s v="2024-03-17"/>
    <x v="1"/>
    <x v="3"/>
    <x v="3"/>
    <x v="1"/>
    <n v="4"/>
    <n v="30581"/>
    <n v="122324"/>
    <s v="High"/>
    <s v="2024-03"/>
    <x v="3"/>
  </r>
  <r>
    <n v="1109"/>
    <s v="2024-04-30"/>
    <x v="0"/>
    <x v="0"/>
    <x v="2"/>
    <x v="1"/>
    <n v="9"/>
    <n v="51906"/>
    <n v="467154"/>
    <s v="High"/>
    <s v="2024-04"/>
    <x v="1"/>
  </r>
  <r>
    <n v="1110"/>
    <s v="2024-01-18"/>
    <x v="2"/>
    <x v="4"/>
    <x v="1"/>
    <x v="1"/>
    <n v="6"/>
    <n v="14066"/>
    <n v="84396"/>
    <s v="Normal"/>
    <s v="2024-01"/>
    <x v="0"/>
  </r>
  <r>
    <n v="1111"/>
    <s v="2024-06-21"/>
    <x v="2"/>
    <x v="3"/>
    <x v="1"/>
    <x v="1"/>
    <n v="2"/>
    <n v="14636"/>
    <n v="29272"/>
    <s v="Normal"/>
    <s v="2024-06"/>
    <x v="4"/>
  </r>
  <r>
    <n v="1112"/>
    <s v="2024-04-23"/>
    <x v="1"/>
    <x v="0"/>
    <x v="1"/>
    <x v="1"/>
    <n v="8"/>
    <n v="14168"/>
    <n v="113344"/>
    <s v="High"/>
    <s v="2024-04"/>
    <x v="1"/>
  </r>
  <r>
    <n v="1113"/>
    <s v="2024-05-06"/>
    <x v="0"/>
    <x v="3"/>
    <x v="5"/>
    <x v="0"/>
    <n v="4"/>
    <n v="458"/>
    <n v="1832"/>
    <s v="Normal"/>
    <s v="2024-05"/>
    <x v="5"/>
  </r>
  <r>
    <n v="1114"/>
    <s v="2024-06-03"/>
    <x v="2"/>
    <x v="1"/>
    <x v="3"/>
    <x v="1"/>
    <n v="5"/>
    <n v="30402"/>
    <n v="152010"/>
    <s v="High"/>
    <s v="2024-06"/>
    <x v="4"/>
  </r>
  <r>
    <n v="1115"/>
    <s v="2024-05-19"/>
    <x v="0"/>
    <x v="2"/>
    <x v="4"/>
    <x v="1"/>
    <n v="4"/>
    <n v="18261"/>
    <n v="73044"/>
    <s v="Normal"/>
    <s v="2024-05"/>
    <x v="5"/>
  </r>
  <r>
    <n v="1116"/>
    <s v="2024-01-18"/>
    <x v="3"/>
    <x v="3"/>
    <x v="6"/>
    <x v="0"/>
    <n v="4"/>
    <n v="5499"/>
    <n v="21996"/>
    <s v="Normal"/>
    <s v="2024-01"/>
    <x v="0"/>
  </r>
  <r>
    <n v="1117"/>
    <s v="2024-04-05"/>
    <x v="3"/>
    <x v="2"/>
    <x v="4"/>
    <x v="1"/>
    <n v="3"/>
    <n v="20604"/>
    <n v="61812"/>
    <s v="Normal"/>
    <s v="2024-04"/>
    <x v="1"/>
  </r>
  <r>
    <n v="1118"/>
    <s v="2024-02-02"/>
    <x v="0"/>
    <x v="4"/>
    <x v="4"/>
    <x v="1"/>
    <n v="7"/>
    <n v="20549"/>
    <n v="143843"/>
    <s v="High"/>
    <s v="2024-02"/>
    <x v="2"/>
  </r>
  <r>
    <n v="1119"/>
    <s v="2024-02-06"/>
    <x v="2"/>
    <x v="0"/>
    <x v="2"/>
    <x v="1"/>
    <n v="1"/>
    <n v="48422"/>
    <n v="48422"/>
    <s v="Normal"/>
    <s v="2024-02"/>
    <x v="2"/>
  </r>
  <r>
    <n v="1120"/>
    <s v="2024-04-01"/>
    <x v="3"/>
    <x v="1"/>
    <x v="6"/>
    <x v="0"/>
    <n v="2"/>
    <n v="8932"/>
    <n v="17864"/>
    <s v="Normal"/>
    <s v="2024-04"/>
    <x v="1"/>
  </r>
  <r>
    <n v="1121"/>
    <s v="2024-06-20"/>
    <x v="0"/>
    <x v="0"/>
    <x v="2"/>
    <x v="1"/>
    <n v="6"/>
    <n v="50510"/>
    <n v="303060"/>
    <s v="High"/>
    <s v="2024-06"/>
    <x v="4"/>
  </r>
  <r>
    <n v="1122"/>
    <s v="2024-04-29"/>
    <x v="0"/>
    <x v="4"/>
    <x v="5"/>
    <x v="0"/>
    <n v="8"/>
    <n v="2009"/>
    <n v="16072"/>
    <s v="Normal"/>
    <s v="2024-04"/>
    <x v="1"/>
  </r>
  <r>
    <n v="1123"/>
    <s v="2024-03-20"/>
    <x v="3"/>
    <x v="4"/>
    <x v="0"/>
    <x v="0"/>
    <n v="7"/>
    <n v="23153"/>
    <n v="162071"/>
    <s v="High"/>
    <s v="2024-03"/>
    <x v="3"/>
  </r>
  <r>
    <n v="1124"/>
    <s v="2024-01-09"/>
    <x v="1"/>
    <x v="1"/>
    <x v="0"/>
    <x v="0"/>
    <n v="4"/>
    <n v="23282"/>
    <n v="93128"/>
    <s v="Normal"/>
    <s v="2024-01"/>
    <x v="0"/>
  </r>
  <r>
    <n v="1125"/>
    <s v="2024-06-13"/>
    <x v="2"/>
    <x v="4"/>
    <x v="4"/>
    <x v="1"/>
    <n v="7"/>
    <n v="18175"/>
    <n v="127225"/>
    <s v="High"/>
    <s v="2024-06"/>
    <x v="4"/>
  </r>
  <r>
    <n v="1126"/>
    <s v="2024-04-25"/>
    <x v="2"/>
    <x v="4"/>
    <x v="4"/>
    <x v="1"/>
    <n v="3"/>
    <n v="19157"/>
    <n v="57471"/>
    <s v="Normal"/>
    <s v="2024-04"/>
    <x v="1"/>
  </r>
  <r>
    <n v="1127"/>
    <s v="2024-04-17"/>
    <x v="3"/>
    <x v="5"/>
    <x v="3"/>
    <x v="1"/>
    <n v="9"/>
    <n v="30097"/>
    <n v="270873"/>
    <s v="High"/>
    <s v="2024-04"/>
    <x v="1"/>
  </r>
  <r>
    <n v="1128"/>
    <s v="2024-03-15"/>
    <x v="0"/>
    <x v="3"/>
    <x v="6"/>
    <x v="0"/>
    <n v="5"/>
    <n v="8637"/>
    <n v="43185"/>
    <s v="Normal"/>
    <s v="2024-03"/>
    <x v="3"/>
  </r>
  <r>
    <n v="1129"/>
    <s v="2024-03-11"/>
    <x v="0"/>
    <x v="0"/>
    <x v="3"/>
    <x v="1"/>
    <n v="10"/>
    <n v="32133"/>
    <n v="321330"/>
    <s v="High"/>
    <s v="2024-03"/>
    <x v="3"/>
  </r>
  <r>
    <n v="1130"/>
    <s v="2024-05-12"/>
    <x v="1"/>
    <x v="0"/>
    <x v="3"/>
    <x v="1"/>
    <n v="2"/>
    <n v="32953"/>
    <n v="65906"/>
    <s v="Normal"/>
    <s v="2024-05"/>
    <x v="5"/>
  </r>
  <r>
    <n v="1131"/>
    <s v="2024-05-04"/>
    <x v="1"/>
    <x v="4"/>
    <x v="4"/>
    <x v="1"/>
    <n v="4"/>
    <n v="20816"/>
    <n v="83264"/>
    <s v="Normal"/>
    <s v="2024-05"/>
    <x v="5"/>
  </r>
  <r>
    <n v="1132"/>
    <s v="2024-04-18"/>
    <x v="2"/>
    <x v="4"/>
    <x v="0"/>
    <x v="0"/>
    <n v="6"/>
    <n v="25241"/>
    <n v="151446"/>
    <s v="High"/>
    <s v="2024-04"/>
    <x v="1"/>
  </r>
  <r>
    <n v="1133"/>
    <s v="2024-03-12"/>
    <x v="3"/>
    <x v="5"/>
    <x v="3"/>
    <x v="1"/>
    <n v="7"/>
    <n v="30358"/>
    <n v="212506"/>
    <s v="High"/>
    <s v="2024-03"/>
    <x v="3"/>
  </r>
  <r>
    <n v="1134"/>
    <s v="2024-05-07"/>
    <x v="3"/>
    <x v="2"/>
    <x v="3"/>
    <x v="1"/>
    <n v="4"/>
    <n v="29437"/>
    <n v="117748"/>
    <s v="High"/>
    <s v="2024-05"/>
    <x v="5"/>
  </r>
  <r>
    <n v="1135"/>
    <s v="2024-01-21"/>
    <x v="1"/>
    <x v="1"/>
    <x v="3"/>
    <x v="1"/>
    <n v="8"/>
    <n v="28144"/>
    <n v="225152"/>
    <s v="High"/>
    <s v="2024-01"/>
    <x v="0"/>
  </r>
  <r>
    <n v="1136"/>
    <s v="2024-01-14"/>
    <x v="0"/>
    <x v="5"/>
    <x v="3"/>
    <x v="1"/>
    <n v="4"/>
    <n v="28918"/>
    <n v="115672"/>
    <s v="High"/>
    <s v="2024-01"/>
    <x v="0"/>
  </r>
  <r>
    <n v="1137"/>
    <s v="2024-05-09"/>
    <x v="3"/>
    <x v="4"/>
    <x v="5"/>
    <x v="0"/>
    <n v="8"/>
    <n v="2842"/>
    <n v="22736"/>
    <s v="Normal"/>
    <s v="2024-05"/>
    <x v="5"/>
  </r>
  <r>
    <n v="1138"/>
    <s v="2024-04-12"/>
    <x v="2"/>
    <x v="5"/>
    <x v="3"/>
    <x v="1"/>
    <n v="3"/>
    <n v="31266"/>
    <n v="93798"/>
    <s v="Normal"/>
    <s v="2024-04"/>
    <x v="1"/>
  </r>
  <r>
    <n v="1139"/>
    <s v="2024-01-26"/>
    <x v="0"/>
    <x v="5"/>
    <x v="0"/>
    <x v="0"/>
    <n v="4"/>
    <n v="27203"/>
    <n v="108812"/>
    <s v="High"/>
    <s v="2024-01"/>
    <x v="0"/>
  </r>
  <r>
    <n v="1140"/>
    <s v="2024-06-12"/>
    <x v="0"/>
    <x v="1"/>
    <x v="4"/>
    <x v="1"/>
    <n v="8"/>
    <n v="20253"/>
    <n v="162024"/>
    <s v="High"/>
    <s v="2024-06"/>
    <x v="4"/>
  </r>
  <r>
    <n v="1141"/>
    <s v="2024-02-02"/>
    <x v="3"/>
    <x v="4"/>
    <x v="2"/>
    <x v="1"/>
    <n v="10"/>
    <n v="52175"/>
    <n v="521750"/>
    <s v="High"/>
    <s v="2024-02"/>
    <x v="2"/>
  </r>
  <r>
    <n v="1142"/>
    <s v="2024-02-25"/>
    <x v="0"/>
    <x v="3"/>
    <x v="4"/>
    <x v="1"/>
    <n v="1"/>
    <n v="18999"/>
    <n v="18999"/>
    <s v="Normal"/>
    <s v="2024-02"/>
    <x v="2"/>
  </r>
  <r>
    <n v="1143"/>
    <s v="2024-05-23"/>
    <x v="2"/>
    <x v="0"/>
    <x v="5"/>
    <x v="0"/>
    <n v="5"/>
    <n v="143"/>
    <n v="715"/>
    <s v="Normal"/>
    <s v="2024-05"/>
    <x v="5"/>
  </r>
  <r>
    <n v="1144"/>
    <s v="2024-06-15"/>
    <x v="3"/>
    <x v="4"/>
    <x v="5"/>
    <x v="0"/>
    <n v="9"/>
    <n v="2185"/>
    <n v="19665"/>
    <s v="Normal"/>
    <s v="2024-06"/>
    <x v="4"/>
  </r>
  <r>
    <n v="1145"/>
    <s v="2024-03-03"/>
    <x v="1"/>
    <x v="0"/>
    <x v="5"/>
    <x v="0"/>
    <n v="5"/>
    <n v="3341"/>
    <n v="16705"/>
    <s v="Normal"/>
    <s v="2024-03"/>
    <x v="3"/>
  </r>
  <r>
    <n v="1146"/>
    <s v="2024-01-09"/>
    <x v="0"/>
    <x v="4"/>
    <x v="1"/>
    <x v="1"/>
    <n v="5"/>
    <n v="16134"/>
    <n v="80670"/>
    <s v="Normal"/>
    <s v="2024-01"/>
    <x v="0"/>
  </r>
  <r>
    <n v="1147"/>
    <s v="2024-05-19"/>
    <x v="1"/>
    <x v="4"/>
    <x v="5"/>
    <x v="0"/>
    <n v="3"/>
    <n v="3448"/>
    <n v="10344"/>
    <s v="Normal"/>
    <s v="2024-05"/>
    <x v="5"/>
  </r>
  <r>
    <n v="1148"/>
    <s v="2024-01-04"/>
    <x v="1"/>
    <x v="2"/>
    <x v="4"/>
    <x v="1"/>
    <n v="3"/>
    <n v="19032"/>
    <n v="57096"/>
    <s v="Normal"/>
    <s v="2024-01"/>
    <x v="0"/>
  </r>
  <r>
    <n v="1149"/>
    <s v="2024-01-29"/>
    <x v="0"/>
    <x v="4"/>
    <x v="3"/>
    <x v="1"/>
    <n v="3"/>
    <n v="30472"/>
    <n v="91416"/>
    <s v="Normal"/>
    <s v="2024-01"/>
    <x v="0"/>
  </r>
  <r>
    <n v="1150"/>
    <s v="2024-06-11"/>
    <x v="0"/>
    <x v="4"/>
    <x v="1"/>
    <x v="1"/>
    <n v="3"/>
    <n v="16091"/>
    <n v="48273"/>
    <s v="Normal"/>
    <s v="2024-06"/>
    <x v="4"/>
  </r>
  <r>
    <n v="1151"/>
    <s v="2024-04-19"/>
    <x v="3"/>
    <x v="0"/>
    <x v="0"/>
    <x v="0"/>
    <n v="7"/>
    <n v="27378"/>
    <n v="191646"/>
    <s v="High"/>
    <s v="2024-04"/>
    <x v="1"/>
  </r>
  <r>
    <n v="1152"/>
    <s v="2024-04-29"/>
    <x v="0"/>
    <x v="4"/>
    <x v="4"/>
    <x v="1"/>
    <n v="4"/>
    <n v="22930"/>
    <n v="91720"/>
    <s v="Normal"/>
    <s v="2024-04"/>
    <x v="1"/>
  </r>
  <r>
    <n v="1153"/>
    <s v="2024-03-17"/>
    <x v="2"/>
    <x v="0"/>
    <x v="3"/>
    <x v="1"/>
    <n v="5"/>
    <n v="32092"/>
    <n v="160460"/>
    <s v="High"/>
    <s v="2024-03"/>
    <x v="3"/>
  </r>
  <r>
    <n v="1154"/>
    <s v="2024-04-02"/>
    <x v="3"/>
    <x v="1"/>
    <x v="4"/>
    <x v="1"/>
    <n v="5"/>
    <n v="21460"/>
    <n v="107300"/>
    <s v="High"/>
    <s v="2024-04"/>
    <x v="1"/>
  </r>
  <r>
    <n v="1155"/>
    <s v="2024-05-23"/>
    <x v="2"/>
    <x v="2"/>
    <x v="2"/>
    <x v="1"/>
    <n v="6"/>
    <n v="48078"/>
    <n v="288468"/>
    <s v="High"/>
    <s v="2024-05"/>
    <x v="5"/>
  </r>
  <r>
    <n v="1156"/>
    <s v="2024-03-28"/>
    <x v="2"/>
    <x v="5"/>
    <x v="0"/>
    <x v="0"/>
    <n v="4"/>
    <n v="23941"/>
    <n v="95764"/>
    <s v="Normal"/>
    <s v="2024-03"/>
    <x v="3"/>
  </r>
  <r>
    <n v="1157"/>
    <s v="2024-01-20"/>
    <x v="1"/>
    <x v="0"/>
    <x v="2"/>
    <x v="1"/>
    <n v="8"/>
    <n v="49059"/>
    <n v="392472"/>
    <s v="High"/>
    <s v="2024-01"/>
    <x v="0"/>
  </r>
  <r>
    <n v="1158"/>
    <s v="2024-05-21"/>
    <x v="3"/>
    <x v="4"/>
    <x v="3"/>
    <x v="1"/>
    <n v="2"/>
    <n v="32469"/>
    <n v="64938"/>
    <s v="Normal"/>
    <s v="2024-05"/>
    <x v="5"/>
  </r>
  <r>
    <n v="1159"/>
    <s v="2024-02-26"/>
    <x v="1"/>
    <x v="4"/>
    <x v="4"/>
    <x v="1"/>
    <n v="1"/>
    <n v="21227"/>
    <n v="21227"/>
    <s v="Normal"/>
    <s v="2024-02"/>
    <x v="2"/>
  </r>
  <r>
    <n v="1160"/>
    <s v="2024-06-14"/>
    <x v="3"/>
    <x v="5"/>
    <x v="1"/>
    <x v="1"/>
    <n v="7"/>
    <n v="16875"/>
    <n v="118125"/>
    <s v="High"/>
    <s v="2024-06"/>
    <x v="4"/>
  </r>
  <r>
    <n v="1161"/>
    <s v="2024-04-04"/>
    <x v="2"/>
    <x v="4"/>
    <x v="0"/>
    <x v="0"/>
    <n v="5"/>
    <n v="23196"/>
    <n v="115980"/>
    <s v="High"/>
    <s v="2024-04"/>
    <x v="1"/>
  </r>
  <r>
    <n v="1162"/>
    <s v="2024-06-21"/>
    <x v="0"/>
    <x v="3"/>
    <x v="3"/>
    <x v="1"/>
    <n v="9"/>
    <n v="31774"/>
    <n v="285966"/>
    <s v="High"/>
    <s v="2024-06"/>
    <x v="4"/>
  </r>
  <r>
    <n v="1163"/>
    <s v="2024-01-03"/>
    <x v="3"/>
    <x v="4"/>
    <x v="0"/>
    <x v="0"/>
    <n v="4"/>
    <n v="27635"/>
    <n v="110540"/>
    <s v="High"/>
    <s v="2024-01"/>
    <x v="0"/>
  </r>
  <r>
    <n v="1164"/>
    <s v="2024-01-06"/>
    <x v="0"/>
    <x v="3"/>
    <x v="6"/>
    <x v="0"/>
    <n v="8"/>
    <n v="9486"/>
    <n v="75888"/>
    <s v="Normal"/>
    <s v="2024-01"/>
    <x v="0"/>
  </r>
  <r>
    <n v="1165"/>
    <s v="2024-01-23"/>
    <x v="1"/>
    <x v="3"/>
    <x v="4"/>
    <x v="1"/>
    <n v="2"/>
    <n v="18847"/>
    <n v="37694"/>
    <s v="Normal"/>
    <s v="2024-01"/>
    <x v="0"/>
  </r>
  <r>
    <n v="1166"/>
    <s v="2024-05-23"/>
    <x v="2"/>
    <x v="3"/>
    <x v="3"/>
    <x v="1"/>
    <n v="6"/>
    <n v="28308"/>
    <n v="169848"/>
    <s v="High"/>
    <s v="2024-05"/>
    <x v="5"/>
  </r>
  <r>
    <n v="1167"/>
    <s v="2024-01-17"/>
    <x v="2"/>
    <x v="3"/>
    <x v="2"/>
    <x v="1"/>
    <n v="10"/>
    <n v="49265"/>
    <n v="492650"/>
    <s v="High"/>
    <s v="2024-01"/>
    <x v="0"/>
  </r>
  <r>
    <n v="1168"/>
    <s v="2024-04-10"/>
    <x v="0"/>
    <x v="5"/>
    <x v="1"/>
    <x v="1"/>
    <n v="10"/>
    <n v="13698"/>
    <n v="136980"/>
    <s v="High"/>
    <s v="2024-04"/>
    <x v="1"/>
  </r>
  <r>
    <n v="1169"/>
    <s v="2024-03-19"/>
    <x v="0"/>
    <x v="2"/>
    <x v="3"/>
    <x v="1"/>
    <n v="7"/>
    <n v="32927"/>
    <n v="230489"/>
    <s v="High"/>
    <s v="2024-03"/>
    <x v="3"/>
  </r>
  <r>
    <n v="1170"/>
    <s v="2024-05-23"/>
    <x v="3"/>
    <x v="5"/>
    <x v="2"/>
    <x v="1"/>
    <n v="5"/>
    <n v="48557"/>
    <n v="242785"/>
    <s v="High"/>
    <s v="2024-05"/>
    <x v="5"/>
  </r>
  <r>
    <n v="1171"/>
    <s v="2024-06-20"/>
    <x v="1"/>
    <x v="5"/>
    <x v="2"/>
    <x v="1"/>
    <n v="7"/>
    <n v="51697"/>
    <n v="361879"/>
    <s v="High"/>
    <s v="2024-06"/>
    <x v="4"/>
  </r>
  <r>
    <n v="1172"/>
    <s v="2024-02-20"/>
    <x v="1"/>
    <x v="1"/>
    <x v="6"/>
    <x v="0"/>
    <n v="6"/>
    <n v="8077"/>
    <n v="48462"/>
    <s v="Normal"/>
    <s v="2024-02"/>
    <x v="2"/>
  </r>
  <r>
    <n v="1173"/>
    <s v="2024-04-26"/>
    <x v="0"/>
    <x v="3"/>
    <x v="5"/>
    <x v="0"/>
    <n v="4"/>
    <n v="1026"/>
    <n v="4104"/>
    <s v="Normal"/>
    <s v="2024-04"/>
    <x v="1"/>
  </r>
  <r>
    <n v="1174"/>
    <s v="2024-01-07"/>
    <x v="1"/>
    <x v="4"/>
    <x v="2"/>
    <x v="1"/>
    <n v="3"/>
    <n v="49628"/>
    <n v="148884"/>
    <s v="High"/>
    <s v="2024-01"/>
    <x v="0"/>
  </r>
  <r>
    <n v="1175"/>
    <s v="2024-06-18"/>
    <x v="1"/>
    <x v="5"/>
    <x v="5"/>
    <x v="0"/>
    <n v="10"/>
    <n v="779"/>
    <n v="7790"/>
    <s v="Normal"/>
    <s v="2024-06"/>
    <x v="4"/>
  </r>
  <r>
    <n v="1176"/>
    <s v="2024-06-23"/>
    <x v="3"/>
    <x v="1"/>
    <x v="4"/>
    <x v="1"/>
    <n v="7"/>
    <n v="21519"/>
    <n v="150633"/>
    <s v="High"/>
    <s v="2024-06"/>
    <x v="4"/>
  </r>
  <r>
    <n v="1177"/>
    <s v="2024-04-21"/>
    <x v="3"/>
    <x v="3"/>
    <x v="4"/>
    <x v="1"/>
    <n v="2"/>
    <n v="18001"/>
    <n v="36002"/>
    <s v="Normal"/>
    <s v="2024-04"/>
    <x v="1"/>
  </r>
  <r>
    <n v="1178"/>
    <s v="2024-03-27"/>
    <x v="0"/>
    <x v="2"/>
    <x v="5"/>
    <x v="0"/>
    <n v="5"/>
    <n v="539"/>
    <n v="2695"/>
    <s v="Normal"/>
    <s v="2024-03"/>
    <x v="3"/>
  </r>
  <r>
    <n v="1179"/>
    <s v="2024-02-21"/>
    <x v="0"/>
    <x v="5"/>
    <x v="0"/>
    <x v="0"/>
    <n v="6"/>
    <n v="24727"/>
    <n v="148362"/>
    <s v="High"/>
    <s v="2024-02"/>
    <x v="2"/>
  </r>
  <r>
    <n v="1180"/>
    <s v="2024-05-21"/>
    <x v="0"/>
    <x v="5"/>
    <x v="6"/>
    <x v="0"/>
    <n v="6"/>
    <n v="7842"/>
    <n v="47052"/>
    <s v="Normal"/>
    <s v="2024-05"/>
    <x v="5"/>
  </r>
  <r>
    <n v="1181"/>
    <s v="2024-03-12"/>
    <x v="0"/>
    <x v="4"/>
    <x v="0"/>
    <x v="0"/>
    <n v="8"/>
    <n v="25844"/>
    <n v="206752"/>
    <s v="High"/>
    <s v="2024-03"/>
    <x v="3"/>
  </r>
  <r>
    <n v="1182"/>
    <s v="2024-03-17"/>
    <x v="0"/>
    <x v="0"/>
    <x v="1"/>
    <x v="1"/>
    <n v="5"/>
    <n v="14691"/>
    <n v="73455"/>
    <s v="Normal"/>
    <s v="2024-03"/>
    <x v="3"/>
  </r>
  <r>
    <n v="1183"/>
    <s v="2024-05-29"/>
    <x v="2"/>
    <x v="2"/>
    <x v="1"/>
    <x v="1"/>
    <n v="3"/>
    <n v="15227"/>
    <n v="45681"/>
    <s v="Normal"/>
    <s v="2024-05"/>
    <x v="5"/>
  </r>
  <r>
    <n v="1184"/>
    <s v="2024-06-11"/>
    <x v="0"/>
    <x v="4"/>
    <x v="1"/>
    <x v="1"/>
    <n v="3"/>
    <n v="17724"/>
    <n v="53172"/>
    <s v="Normal"/>
    <s v="2024-06"/>
    <x v="4"/>
  </r>
  <r>
    <n v="1185"/>
    <s v="2024-01-26"/>
    <x v="3"/>
    <x v="1"/>
    <x v="5"/>
    <x v="0"/>
    <n v="2"/>
    <n v="3812"/>
    <n v="7624"/>
    <s v="Normal"/>
    <s v="2024-01"/>
    <x v="0"/>
  </r>
  <r>
    <n v="1186"/>
    <s v="2024-05-11"/>
    <x v="1"/>
    <x v="1"/>
    <x v="5"/>
    <x v="0"/>
    <n v="9"/>
    <n v="3550"/>
    <n v="31950"/>
    <s v="Normal"/>
    <s v="2024-05"/>
    <x v="5"/>
  </r>
  <r>
    <n v="1187"/>
    <s v="2024-05-28"/>
    <x v="2"/>
    <x v="4"/>
    <x v="1"/>
    <x v="1"/>
    <n v="1"/>
    <n v="13794"/>
    <n v="13794"/>
    <s v="Normal"/>
    <s v="2024-05"/>
    <x v="5"/>
  </r>
  <r>
    <n v="1188"/>
    <s v="2024-05-22"/>
    <x v="3"/>
    <x v="5"/>
    <x v="4"/>
    <x v="1"/>
    <n v="10"/>
    <n v="22177"/>
    <n v="221770"/>
    <s v="High"/>
    <s v="2024-05"/>
    <x v="5"/>
  </r>
  <r>
    <n v="1189"/>
    <s v="2024-06-26"/>
    <x v="1"/>
    <x v="1"/>
    <x v="6"/>
    <x v="0"/>
    <n v="3"/>
    <n v="7922"/>
    <n v="23766"/>
    <s v="Normal"/>
    <s v="2024-06"/>
    <x v="4"/>
  </r>
  <r>
    <n v="1190"/>
    <s v="2024-06-29"/>
    <x v="3"/>
    <x v="0"/>
    <x v="6"/>
    <x v="0"/>
    <n v="10"/>
    <n v="7523"/>
    <n v="75230"/>
    <s v="Normal"/>
    <s v="2024-06"/>
    <x v="4"/>
  </r>
  <r>
    <n v="1191"/>
    <s v="2024-02-03"/>
    <x v="0"/>
    <x v="1"/>
    <x v="4"/>
    <x v="1"/>
    <n v="8"/>
    <n v="21713"/>
    <n v="173704"/>
    <s v="High"/>
    <s v="2024-02"/>
    <x v="2"/>
  </r>
  <r>
    <n v="1192"/>
    <s v="2024-01-12"/>
    <x v="1"/>
    <x v="0"/>
    <x v="6"/>
    <x v="0"/>
    <n v="1"/>
    <n v="8161"/>
    <n v="8161"/>
    <s v="Normal"/>
    <s v="2024-01"/>
    <x v="0"/>
  </r>
  <r>
    <n v="1193"/>
    <s v="2024-04-23"/>
    <x v="2"/>
    <x v="2"/>
    <x v="2"/>
    <x v="1"/>
    <n v="1"/>
    <n v="49740"/>
    <n v="49740"/>
    <s v="Normal"/>
    <s v="2024-04"/>
    <x v="1"/>
  </r>
  <r>
    <n v="1194"/>
    <s v="2024-05-14"/>
    <x v="0"/>
    <x v="3"/>
    <x v="0"/>
    <x v="0"/>
    <n v="2"/>
    <n v="23608"/>
    <n v="47216"/>
    <s v="Normal"/>
    <s v="2024-05"/>
    <x v="5"/>
  </r>
  <r>
    <n v="1195"/>
    <s v="2024-04-13"/>
    <x v="3"/>
    <x v="2"/>
    <x v="1"/>
    <x v="1"/>
    <n v="9"/>
    <n v="14179"/>
    <n v="127611"/>
    <s v="High"/>
    <s v="2024-04"/>
    <x v="1"/>
  </r>
  <r>
    <n v="1196"/>
    <s v="2024-03-29"/>
    <x v="2"/>
    <x v="0"/>
    <x v="0"/>
    <x v="0"/>
    <n v="1"/>
    <n v="24341"/>
    <n v="24341"/>
    <s v="Normal"/>
    <s v="2024-03"/>
    <x v="3"/>
  </r>
  <r>
    <n v="1197"/>
    <s v="2024-03-28"/>
    <x v="1"/>
    <x v="4"/>
    <x v="2"/>
    <x v="1"/>
    <n v="1"/>
    <n v="51680"/>
    <n v="51680"/>
    <s v="Normal"/>
    <s v="2024-03"/>
    <x v="3"/>
  </r>
  <r>
    <n v="1198"/>
    <s v="2024-04-09"/>
    <x v="2"/>
    <x v="2"/>
    <x v="5"/>
    <x v="0"/>
    <n v="7"/>
    <n v="1467"/>
    <n v="10269"/>
    <s v="Normal"/>
    <s v="2024-04"/>
    <x v="1"/>
  </r>
  <r>
    <n v="1199"/>
    <s v="2024-04-23"/>
    <x v="1"/>
    <x v="2"/>
    <x v="5"/>
    <x v="0"/>
    <n v="1"/>
    <n v="2011"/>
    <n v="2011"/>
    <s v="Normal"/>
    <s v="2024-04"/>
    <x v="1"/>
  </r>
  <r>
    <n v="1200"/>
    <s v="2024-06-17"/>
    <x v="1"/>
    <x v="2"/>
    <x v="5"/>
    <x v="0"/>
    <n v="10"/>
    <n v="3082"/>
    <n v="30820"/>
    <s v="Normal"/>
    <s v="2024-06"/>
    <x v="4"/>
  </r>
  <r>
    <n v="1201"/>
    <s v="2024-02-05"/>
    <x v="2"/>
    <x v="3"/>
    <x v="1"/>
    <x v="1"/>
    <n v="4"/>
    <n v="14361"/>
    <n v="57444"/>
    <s v="Normal"/>
    <s v="2024-02"/>
    <x v="2"/>
  </r>
  <r>
    <n v="1202"/>
    <s v="2024-05-28"/>
    <x v="3"/>
    <x v="2"/>
    <x v="1"/>
    <x v="1"/>
    <n v="10"/>
    <n v="14609"/>
    <n v="146090"/>
    <s v="High"/>
    <s v="2024-05"/>
    <x v="5"/>
  </r>
  <r>
    <n v="1203"/>
    <s v="2024-04-19"/>
    <x v="0"/>
    <x v="1"/>
    <x v="2"/>
    <x v="1"/>
    <n v="10"/>
    <n v="50891"/>
    <n v="508910"/>
    <s v="High"/>
    <s v="2024-04"/>
    <x v="1"/>
  </r>
  <r>
    <n v="1204"/>
    <s v="2024-02-05"/>
    <x v="1"/>
    <x v="5"/>
    <x v="2"/>
    <x v="1"/>
    <n v="7"/>
    <n v="49661"/>
    <n v="347627"/>
    <s v="High"/>
    <s v="2024-02"/>
    <x v="2"/>
  </r>
  <r>
    <n v="1205"/>
    <s v="2024-01-10"/>
    <x v="3"/>
    <x v="3"/>
    <x v="0"/>
    <x v="0"/>
    <n v="1"/>
    <n v="26430"/>
    <n v="26430"/>
    <s v="Normal"/>
    <s v="2024-01"/>
    <x v="0"/>
  </r>
  <r>
    <n v="1206"/>
    <s v="2024-02-21"/>
    <x v="0"/>
    <x v="2"/>
    <x v="1"/>
    <x v="1"/>
    <n v="6"/>
    <n v="14712"/>
    <n v="88272"/>
    <s v="Normal"/>
    <s v="2024-02"/>
    <x v="2"/>
  </r>
  <r>
    <n v="1207"/>
    <s v="2024-05-11"/>
    <x v="2"/>
    <x v="1"/>
    <x v="6"/>
    <x v="0"/>
    <n v="10"/>
    <n v="8221"/>
    <n v="82210"/>
    <s v="Normal"/>
    <s v="2024-05"/>
    <x v="5"/>
  </r>
  <r>
    <n v="1208"/>
    <s v="2024-04-28"/>
    <x v="1"/>
    <x v="3"/>
    <x v="3"/>
    <x v="1"/>
    <n v="6"/>
    <n v="31068"/>
    <n v="186408"/>
    <s v="High"/>
    <s v="2024-04"/>
    <x v="1"/>
  </r>
  <r>
    <n v="1209"/>
    <s v="2024-06-22"/>
    <x v="0"/>
    <x v="5"/>
    <x v="5"/>
    <x v="0"/>
    <n v="2"/>
    <n v="2201"/>
    <n v="4402"/>
    <s v="Normal"/>
    <s v="2024-06"/>
    <x v="4"/>
  </r>
  <r>
    <n v="1210"/>
    <s v="2024-05-08"/>
    <x v="0"/>
    <x v="3"/>
    <x v="5"/>
    <x v="0"/>
    <n v="5"/>
    <n v="990"/>
    <n v="4950"/>
    <s v="Normal"/>
    <s v="2024-05"/>
    <x v="5"/>
  </r>
  <r>
    <n v="1211"/>
    <s v="2024-05-21"/>
    <x v="1"/>
    <x v="1"/>
    <x v="5"/>
    <x v="0"/>
    <n v="9"/>
    <n v="4089"/>
    <n v="36801"/>
    <s v="Normal"/>
    <s v="2024-05"/>
    <x v="5"/>
  </r>
  <r>
    <n v="1212"/>
    <s v="2024-02-22"/>
    <x v="2"/>
    <x v="0"/>
    <x v="1"/>
    <x v="1"/>
    <n v="2"/>
    <n v="13064"/>
    <n v="26128"/>
    <s v="Normal"/>
    <s v="2024-02"/>
    <x v="2"/>
  </r>
  <r>
    <n v="1213"/>
    <s v="2024-03-13"/>
    <x v="3"/>
    <x v="4"/>
    <x v="2"/>
    <x v="1"/>
    <n v="2"/>
    <n v="52643"/>
    <n v="105286"/>
    <s v="High"/>
    <s v="2024-03"/>
    <x v="3"/>
  </r>
  <r>
    <n v="1214"/>
    <s v="2024-06-05"/>
    <x v="3"/>
    <x v="5"/>
    <x v="1"/>
    <x v="1"/>
    <n v="9"/>
    <n v="16951"/>
    <n v="152559"/>
    <s v="High"/>
    <s v="2024-06"/>
    <x v="4"/>
  </r>
  <r>
    <n v="1215"/>
    <s v="2024-02-17"/>
    <x v="1"/>
    <x v="2"/>
    <x v="6"/>
    <x v="0"/>
    <n v="2"/>
    <n v="5376"/>
    <n v="10752"/>
    <s v="Normal"/>
    <s v="2024-02"/>
    <x v="2"/>
  </r>
  <r>
    <n v="1216"/>
    <s v="2024-03-31"/>
    <x v="2"/>
    <x v="3"/>
    <x v="1"/>
    <x v="1"/>
    <n v="2"/>
    <n v="15125"/>
    <n v="30250"/>
    <s v="Normal"/>
    <s v="2024-03"/>
    <x v="3"/>
  </r>
  <r>
    <n v="1217"/>
    <s v="2024-05-31"/>
    <x v="2"/>
    <x v="5"/>
    <x v="2"/>
    <x v="1"/>
    <n v="3"/>
    <n v="52952"/>
    <n v="158856"/>
    <s v="High"/>
    <s v="2024-05"/>
    <x v="5"/>
  </r>
  <r>
    <n v="1218"/>
    <s v="2024-05-12"/>
    <x v="1"/>
    <x v="5"/>
    <x v="5"/>
    <x v="0"/>
    <n v="8"/>
    <n v="4514"/>
    <n v="36112"/>
    <s v="Normal"/>
    <s v="2024-05"/>
    <x v="5"/>
  </r>
  <r>
    <n v="1219"/>
    <s v="2024-02-07"/>
    <x v="1"/>
    <x v="3"/>
    <x v="4"/>
    <x v="1"/>
    <n v="5"/>
    <n v="20377"/>
    <n v="101885"/>
    <s v="High"/>
    <s v="2024-02"/>
    <x v="2"/>
  </r>
  <r>
    <n v="1220"/>
    <s v="2024-03-05"/>
    <x v="3"/>
    <x v="0"/>
    <x v="3"/>
    <x v="1"/>
    <n v="2"/>
    <n v="28548"/>
    <n v="57096"/>
    <s v="Normal"/>
    <s v="2024-03"/>
    <x v="3"/>
  </r>
  <r>
    <n v="1221"/>
    <s v="2024-06-06"/>
    <x v="0"/>
    <x v="5"/>
    <x v="3"/>
    <x v="1"/>
    <n v="8"/>
    <n v="31435"/>
    <n v="251480"/>
    <s v="High"/>
    <s v="2024-06"/>
    <x v="4"/>
  </r>
  <r>
    <n v="1222"/>
    <s v="2024-04-07"/>
    <x v="0"/>
    <x v="1"/>
    <x v="4"/>
    <x v="1"/>
    <n v="2"/>
    <n v="21974"/>
    <n v="43948"/>
    <s v="Normal"/>
    <s v="2024-04"/>
    <x v="1"/>
  </r>
  <r>
    <n v="1223"/>
    <s v="2024-05-11"/>
    <x v="1"/>
    <x v="2"/>
    <x v="3"/>
    <x v="1"/>
    <n v="5"/>
    <n v="28099"/>
    <n v="140495"/>
    <s v="High"/>
    <s v="2024-05"/>
    <x v="5"/>
  </r>
  <r>
    <n v="1224"/>
    <s v="2024-06-05"/>
    <x v="1"/>
    <x v="4"/>
    <x v="5"/>
    <x v="0"/>
    <n v="7"/>
    <n v="1471"/>
    <n v="10297"/>
    <s v="Normal"/>
    <s v="2024-06"/>
    <x v="4"/>
  </r>
  <r>
    <n v="1225"/>
    <s v="2024-03-28"/>
    <x v="1"/>
    <x v="0"/>
    <x v="3"/>
    <x v="1"/>
    <n v="1"/>
    <n v="32085"/>
    <n v="32085"/>
    <s v="Normal"/>
    <s v="2024-03"/>
    <x v="3"/>
  </r>
  <r>
    <n v="1226"/>
    <s v="2024-05-26"/>
    <x v="2"/>
    <x v="5"/>
    <x v="1"/>
    <x v="1"/>
    <n v="1"/>
    <n v="16588"/>
    <n v="16588"/>
    <s v="Normal"/>
    <s v="2024-05"/>
    <x v="5"/>
  </r>
  <r>
    <n v="1227"/>
    <s v="2024-03-31"/>
    <x v="2"/>
    <x v="4"/>
    <x v="5"/>
    <x v="0"/>
    <n v="8"/>
    <n v="2143"/>
    <n v="17144"/>
    <s v="Normal"/>
    <s v="2024-03"/>
    <x v="3"/>
  </r>
  <r>
    <n v="1228"/>
    <s v="2024-03-07"/>
    <x v="0"/>
    <x v="0"/>
    <x v="3"/>
    <x v="1"/>
    <n v="3"/>
    <n v="30565"/>
    <n v="91695"/>
    <s v="Normal"/>
    <s v="2024-03"/>
    <x v="3"/>
  </r>
  <r>
    <n v="1229"/>
    <s v="2024-05-14"/>
    <x v="3"/>
    <x v="5"/>
    <x v="1"/>
    <x v="1"/>
    <n v="1"/>
    <n v="13166"/>
    <n v="13166"/>
    <s v="Normal"/>
    <s v="2024-05"/>
    <x v="5"/>
  </r>
  <r>
    <n v="1230"/>
    <s v="2024-01-02"/>
    <x v="0"/>
    <x v="0"/>
    <x v="2"/>
    <x v="1"/>
    <n v="7"/>
    <n v="48805"/>
    <n v="341635"/>
    <s v="High"/>
    <s v="2024-01"/>
    <x v="0"/>
  </r>
  <r>
    <n v="1231"/>
    <s v="2024-02-19"/>
    <x v="1"/>
    <x v="1"/>
    <x v="0"/>
    <x v="0"/>
    <n v="9"/>
    <n v="23526"/>
    <n v="211734"/>
    <s v="High"/>
    <s v="2024-02"/>
    <x v="2"/>
  </r>
  <r>
    <n v="1232"/>
    <s v="2024-03-11"/>
    <x v="1"/>
    <x v="5"/>
    <x v="5"/>
    <x v="0"/>
    <n v="6"/>
    <n v="738"/>
    <n v="4428"/>
    <s v="Normal"/>
    <s v="2024-03"/>
    <x v="3"/>
  </r>
  <r>
    <n v="1233"/>
    <s v="2024-06-12"/>
    <x v="2"/>
    <x v="1"/>
    <x v="6"/>
    <x v="0"/>
    <n v="5"/>
    <n v="7839"/>
    <n v="39195"/>
    <s v="Normal"/>
    <s v="2024-06"/>
    <x v="4"/>
  </r>
  <r>
    <n v="1234"/>
    <s v="2024-06-26"/>
    <x v="1"/>
    <x v="2"/>
    <x v="0"/>
    <x v="0"/>
    <n v="5"/>
    <n v="24142"/>
    <n v="120710"/>
    <s v="High"/>
    <s v="2024-06"/>
    <x v="4"/>
  </r>
  <r>
    <n v="1235"/>
    <s v="2024-02-05"/>
    <x v="1"/>
    <x v="5"/>
    <x v="1"/>
    <x v="1"/>
    <n v="7"/>
    <n v="14332"/>
    <n v="100324"/>
    <s v="High"/>
    <s v="2024-02"/>
    <x v="2"/>
  </r>
  <r>
    <n v="1236"/>
    <s v="2024-02-26"/>
    <x v="3"/>
    <x v="2"/>
    <x v="1"/>
    <x v="1"/>
    <n v="5"/>
    <n v="16813"/>
    <n v="84065"/>
    <s v="Normal"/>
    <s v="2024-02"/>
    <x v="2"/>
  </r>
  <r>
    <n v="1237"/>
    <s v="2024-01-16"/>
    <x v="2"/>
    <x v="2"/>
    <x v="1"/>
    <x v="1"/>
    <n v="10"/>
    <n v="15627"/>
    <n v="156270"/>
    <s v="High"/>
    <s v="2024-01"/>
    <x v="0"/>
  </r>
  <r>
    <n v="1238"/>
    <s v="2024-03-18"/>
    <x v="1"/>
    <x v="3"/>
    <x v="0"/>
    <x v="0"/>
    <n v="5"/>
    <n v="25214"/>
    <n v="126070"/>
    <s v="High"/>
    <s v="2024-03"/>
    <x v="3"/>
  </r>
  <r>
    <n v="1239"/>
    <s v="2024-01-24"/>
    <x v="1"/>
    <x v="1"/>
    <x v="0"/>
    <x v="0"/>
    <n v="4"/>
    <n v="24176"/>
    <n v="96704"/>
    <s v="Normal"/>
    <s v="2024-01"/>
    <x v="0"/>
  </r>
  <r>
    <n v="1240"/>
    <s v="2024-06-05"/>
    <x v="2"/>
    <x v="1"/>
    <x v="1"/>
    <x v="1"/>
    <n v="4"/>
    <n v="13695"/>
    <n v="54780"/>
    <s v="Normal"/>
    <s v="2024-06"/>
    <x v="4"/>
  </r>
  <r>
    <n v="1241"/>
    <s v="2024-06-27"/>
    <x v="3"/>
    <x v="0"/>
    <x v="2"/>
    <x v="1"/>
    <n v="9"/>
    <n v="50981"/>
    <n v="458829"/>
    <s v="High"/>
    <s v="2024-06"/>
    <x v="4"/>
  </r>
  <r>
    <n v="1242"/>
    <s v="2024-05-20"/>
    <x v="1"/>
    <x v="5"/>
    <x v="2"/>
    <x v="1"/>
    <n v="8"/>
    <n v="52293"/>
    <n v="418344"/>
    <s v="High"/>
    <s v="2024-05"/>
    <x v="5"/>
  </r>
  <r>
    <n v="1243"/>
    <s v="2024-01-13"/>
    <x v="1"/>
    <x v="5"/>
    <x v="2"/>
    <x v="1"/>
    <n v="1"/>
    <n v="52236"/>
    <n v="52236"/>
    <s v="Normal"/>
    <s v="2024-01"/>
    <x v="0"/>
  </r>
  <r>
    <n v="1244"/>
    <s v="2024-05-09"/>
    <x v="1"/>
    <x v="4"/>
    <x v="0"/>
    <x v="0"/>
    <n v="3"/>
    <n v="23642"/>
    <n v="70926"/>
    <s v="Normal"/>
    <s v="2024-05"/>
    <x v="5"/>
  </r>
  <r>
    <n v="1245"/>
    <s v="2024-01-11"/>
    <x v="0"/>
    <x v="3"/>
    <x v="6"/>
    <x v="0"/>
    <n v="10"/>
    <n v="5490"/>
    <n v="54900"/>
    <s v="Normal"/>
    <s v="2024-01"/>
    <x v="0"/>
  </r>
  <r>
    <n v="1246"/>
    <s v="2024-04-29"/>
    <x v="3"/>
    <x v="0"/>
    <x v="3"/>
    <x v="1"/>
    <n v="10"/>
    <n v="32741"/>
    <n v="327410"/>
    <s v="High"/>
    <s v="2024-04"/>
    <x v="1"/>
  </r>
  <r>
    <n v="1247"/>
    <s v="2024-02-09"/>
    <x v="1"/>
    <x v="3"/>
    <x v="0"/>
    <x v="0"/>
    <n v="10"/>
    <n v="25990"/>
    <n v="259900"/>
    <s v="High"/>
    <s v="2024-02"/>
    <x v="2"/>
  </r>
  <r>
    <n v="1248"/>
    <s v="2024-03-26"/>
    <x v="0"/>
    <x v="0"/>
    <x v="6"/>
    <x v="0"/>
    <n v="1"/>
    <n v="7916"/>
    <n v="7916"/>
    <s v="Normal"/>
    <s v="2024-03"/>
    <x v="3"/>
  </r>
  <r>
    <n v="1249"/>
    <s v="2024-02-08"/>
    <x v="0"/>
    <x v="3"/>
    <x v="1"/>
    <x v="1"/>
    <n v="10"/>
    <n v="13502"/>
    <n v="135020"/>
    <s v="High"/>
    <s v="2024-02"/>
    <x v="2"/>
  </r>
  <r>
    <n v="1250"/>
    <s v="2024-02-29"/>
    <x v="3"/>
    <x v="3"/>
    <x v="1"/>
    <x v="1"/>
    <n v="8"/>
    <n v="15999"/>
    <n v="127992"/>
    <s v="High"/>
    <s v="2024-02"/>
    <x v="2"/>
  </r>
  <r>
    <n v="1251"/>
    <s v="2024-02-02"/>
    <x v="3"/>
    <x v="0"/>
    <x v="0"/>
    <x v="0"/>
    <n v="2"/>
    <n v="24861"/>
    <n v="49722"/>
    <s v="Normal"/>
    <s v="2024-02"/>
    <x v="2"/>
  </r>
  <r>
    <n v="1252"/>
    <s v="2024-06-04"/>
    <x v="1"/>
    <x v="1"/>
    <x v="4"/>
    <x v="1"/>
    <n v="6"/>
    <n v="18638"/>
    <n v="111828"/>
    <s v="High"/>
    <s v="2024-06"/>
    <x v="4"/>
  </r>
  <r>
    <n v="1253"/>
    <s v="2024-05-05"/>
    <x v="0"/>
    <x v="1"/>
    <x v="0"/>
    <x v="0"/>
    <n v="1"/>
    <n v="24283"/>
    <n v="24283"/>
    <s v="Normal"/>
    <s v="2024-05"/>
    <x v="5"/>
  </r>
  <r>
    <n v="1254"/>
    <s v="2024-03-21"/>
    <x v="1"/>
    <x v="0"/>
    <x v="4"/>
    <x v="1"/>
    <n v="1"/>
    <n v="19362"/>
    <n v="19362"/>
    <s v="Normal"/>
    <s v="2024-03"/>
    <x v="3"/>
  </r>
  <r>
    <n v="1255"/>
    <s v="2024-06-11"/>
    <x v="1"/>
    <x v="0"/>
    <x v="6"/>
    <x v="0"/>
    <n v="6"/>
    <n v="6196"/>
    <n v="37176"/>
    <s v="Normal"/>
    <s v="2024-06"/>
    <x v="4"/>
  </r>
  <r>
    <n v="1256"/>
    <s v="2024-04-27"/>
    <x v="1"/>
    <x v="3"/>
    <x v="3"/>
    <x v="1"/>
    <n v="2"/>
    <n v="29837"/>
    <n v="59674"/>
    <s v="Normal"/>
    <s v="2024-04"/>
    <x v="1"/>
  </r>
  <r>
    <n v="1257"/>
    <s v="2024-03-28"/>
    <x v="3"/>
    <x v="1"/>
    <x v="5"/>
    <x v="0"/>
    <n v="2"/>
    <n v="615"/>
    <n v="1230"/>
    <s v="Normal"/>
    <s v="2024-03"/>
    <x v="3"/>
  </r>
  <r>
    <n v="1258"/>
    <s v="2024-02-15"/>
    <x v="0"/>
    <x v="2"/>
    <x v="5"/>
    <x v="0"/>
    <n v="10"/>
    <n v="4210"/>
    <n v="42100"/>
    <s v="Normal"/>
    <s v="2024-02"/>
    <x v="2"/>
  </r>
  <r>
    <n v="1259"/>
    <s v="2024-01-07"/>
    <x v="2"/>
    <x v="3"/>
    <x v="2"/>
    <x v="1"/>
    <n v="8"/>
    <n v="48042"/>
    <n v="384336"/>
    <s v="High"/>
    <s v="2024-01"/>
    <x v="0"/>
  </r>
  <r>
    <n v="1260"/>
    <s v="2024-04-06"/>
    <x v="3"/>
    <x v="4"/>
    <x v="0"/>
    <x v="0"/>
    <n v="9"/>
    <n v="27828"/>
    <n v="250452"/>
    <s v="High"/>
    <s v="2024-04"/>
    <x v="1"/>
  </r>
  <r>
    <n v="1261"/>
    <s v="2024-06-02"/>
    <x v="3"/>
    <x v="5"/>
    <x v="1"/>
    <x v="1"/>
    <n v="10"/>
    <n v="17322"/>
    <n v="173220"/>
    <s v="High"/>
    <s v="2024-06"/>
    <x v="4"/>
  </r>
  <r>
    <n v="1262"/>
    <s v="2024-05-09"/>
    <x v="2"/>
    <x v="0"/>
    <x v="1"/>
    <x v="1"/>
    <n v="9"/>
    <n v="13478"/>
    <n v="121302"/>
    <s v="High"/>
    <s v="2024-05"/>
    <x v="5"/>
  </r>
  <r>
    <n v="1263"/>
    <s v="2024-06-09"/>
    <x v="2"/>
    <x v="0"/>
    <x v="4"/>
    <x v="1"/>
    <n v="7"/>
    <n v="21567"/>
    <n v="150969"/>
    <s v="High"/>
    <s v="2024-06"/>
    <x v="4"/>
  </r>
  <r>
    <n v="1264"/>
    <s v="2024-04-01"/>
    <x v="0"/>
    <x v="1"/>
    <x v="4"/>
    <x v="1"/>
    <n v="9"/>
    <n v="18569"/>
    <n v="167121"/>
    <s v="High"/>
    <s v="2024-04"/>
    <x v="1"/>
  </r>
  <r>
    <n v="1265"/>
    <s v="2024-03-23"/>
    <x v="0"/>
    <x v="0"/>
    <x v="1"/>
    <x v="1"/>
    <n v="3"/>
    <n v="15364"/>
    <n v="46092"/>
    <s v="Normal"/>
    <s v="2024-03"/>
    <x v="3"/>
  </r>
  <r>
    <n v="1266"/>
    <s v="2024-04-21"/>
    <x v="2"/>
    <x v="3"/>
    <x v="3"/>
    <x v="1"/>
    <n v="9"/>
    <n v="30303"/>
    <n v="272727"/>
    <s v="High"/>
    <s v="2024-04"/>
    <x v="1"/>
  </r>
  <r>
    <n v="1267"/>
    <s v="2024-02-23"/>
    <x v="0"/>
    <x v="4"/>
    <x v="1"/>
    <x v="1"/>
    <n v="1"/>
    <n v="15673"/>
    <n v="15673"/>
    <s v="Normal"/>
    <s v="2024-02"/>
    <x v="2"/>
  </r>
  <r>
    <n v="1268"/>
    <s v="2024-05-16"/>
    <x v="0"/>
    <x v="4"/>
    <x v="5"/>
    <x v="0"/>
    <n v="2"/>
    <n v="1439"/>
    <n v="2878"/>
    <s v="Normal"/>
    <s v="2024-05"/>
    <x v="5"/>
  </r>
  <r>
    <n v="1269"/>
    <s v="2024-02-18"/>
    <x v="2"/>
    <x v="5"/>
    <x v="1"/>
    <x v="1"/>
    <n v="10"/>
    <n v="14673"/>
    <n v="146730"/>
    <s v="High"/>
    <s v="2024-02"/>
    <x v="2"/>
  </r>
  <r>
    <n v="1270"/>
    <s v="2024-05-10"/>
    <x v="3"/>
    <x v="5"/>
    <x v="5"/>
    <x v="0"/>
    <n v="8"/>
    <n v="3788"/>
    <n v="30304"/>
    <s v="Normal"/>
    <s v="2024-05"/>
    <x v="5"/>
  </r>
  <r>
    <n v="1271"/>
    <s v="2024-03-11"/>
    <x v="0"/>
    <x v="0"/>
    <x v="6"/>
    <x v="0"/>
    <n v="4"/>
    <n v="6901"/>
    <n v="27604"/>
    <s v="Normal"/>
    <s v="2024-03"/>
    <x v="3"/>
  </r>
  <r>
    <n v="1272"/>
    <s v="2024-03-07"/>
    <x v="2"/>
    <x v="4"/>
    <x v="2"/>
    <x v="1"/>
    <n v="4"/>
    <n v="50750"/>
    <n v="203000"/>
    <s v="High"/>
    <s v="2024-03"/>
    <x v="3"/>
  </r>
  <r>
    <n v="1273"/>
    <s v="2024-06-04"/>
    <x v="0"/>
    <x v="1"/>
    <x v="5"/>
    <x v="0"/>
    <n v="7"/>
    <n v="2344"/>
    <n v="16408"/>
    <s v="Normal"/>
    <s v="2024-06"/>
    <x v="4"/>
  </r>
  <r>
    <n v="1274"/>
    <s v="2024-03-30"/>
    <x v="2"/>
    <x v="3"/>
    <x v="5"/>
    <x v="0"/>
    <n v="1"/>
    <n v="2026"/>
    <n v="2026"/>
    <s v="Normal"/>
    <s v="2024-03"/>
    <x v="3"/>
  </r>
  <r>
    <n v="1275"/>
    <s v="2024-03-29"/>
    <x v="2"/>
    <x v="4"/>
    <x v="3"/>
    <x v="1"/>
    <n v="7"/>
    <n v="31101"/>
    <n v="217707"/>
    <s v="High"/>
    <s v="2024-03"/>
    <x v="3"/>
  </r>
  <r>
    <n v="1276"/>
    <s v="2024-05-21"/>
    <x v="0"/>
    <x v="1"/>
    <x v="6"/>
    <x v="0"/>
    <n v="6"/>
    <n v="8783"/>
    <n v="52698"/>
    <s v="Normal"/>
    <s v="2024-05"/>
    <x v="5"/>
  </r>
  <r>
    <n v="1277"/>
    <s v="2024-01-15"/>
    <x v="1"/>
    <x v="0"/>
    <x v="1"/>
    <x v="1"/>
    <n v="1"/>
    <n v="14331"/>
    <n v="14331"/>
    <s v="Normal"/>
    <s v="2024-01"/>
    <x v="0"/>
  </r>
  <r>
    <n v="1278"/>
    <s v="2024-06-06"/>
    <x v="0"/>
    <x v="5"/>
    <x v="4"/>
    <x v="1"/>
    <n v="10"/>
    <n v="18070"/>
    <n v="180700"/>
    <s v="High"/>
    <s v="2024-06"/>
    <x v="4"/>
  </r>
  <r>
    <n v="1279"/>
    <s v="2024-06-15"/>
    <x v="1"/>
    <x v="4"/>
    <x v="4"/>
    <x v="1"/>
    <n v="1"/>
    <n v="19829"/>
    <n v="19829"/>
    <s v="Normal"/>
    <s v="2024-06"/>
    <x v="4"/>
  </r>
  <r>
    <n v="1280"/>
    <s v="2024-03-12"/>
    <x v="2"/>
    <x v="1"/>
    <x v="6"/>
    <x v="0"/>
    <n v="1"/>
    <n v="6787"/>
    <n v="6787"/>
    <s v="Normal"/>
    <s v="2024-03"/>
    <x v="3"/>
  </r>
  <r>
    <n v="1281"/>
    <s v="2024-05-01"/>
    <x v="2"/>
    <x v="3"/>
    <x v="4"/>
    <x v="1"/>
    <n v="5"/>
    <n v="21520"/>
    <n v="107600"/>
    <s v="High"/>
    <s v="2024-05"/>
    <x v="5"/>
  </r>
  <r>
    <n v="1282"/>
    <s v="2024-01-28"/>
    <x v="2"/>
    <x v="1"/>
    <x v="1"/>
    <x v="1"/>
    <n v="3"/>
    <n v="13163"/>
    <n v="39489"/>
    <s v="Normal"/>
    <s v="2024-01"/>
    <x v="0"/>
  </r>
  <r>
    <n v="1283"/>
    <s v="2024-05-21"/>
    <x v="0"/>
    <x v="1"/>
    <x v="2"/>
    <x v="1"/>
    <n v="1"/>
    <n v="52143"/>
    <n v="52143"/>
    <s v="Normal"/>
    <s v="2024-05"/>
    <x v="5"/>
  </r>
  <r>
    <n v="1284"/>
    <s v="2024-01-11"/>
    <x v="0"/>
    <x v="1"/>
    <x v="6"/>
    <x v="0"/>
    <n v="4"/>
    <n v="5607"/>
    <n v="22428"/>
    <s v="Normal"/>
    <s v="2024-01"/>
    <x v="0"/>
  </r>
  <r>
    <n v="1285"/>
    <s v="2024-02-03"/>
    <x v="3"/>
    <x v="4"/>
    <x v="3"/>
    <x v="1"/>
    <n v="3"/>
    <n v="31941"/>
    <n v="95823"/>
    <s v="Normal"/>
    <s v="2024-02"/>
    <x v="2"/>
  </r>
  <r>
    <n v="1286"/>
    <s v="2024-05-18"/>
    <x v="1"/>
    <x v="1"/>
    <x v="6"/>
    <x v="0"/>
    <n v="10"/>
    <n v="8357"/>
    <n v="83570"/>
    <s v="Normal"/>
    <s v="2024-05"/>
    <x v="5"/>
  </r>
  <r>
    <n v="1287"/>
    <s v="2024-05-21"/>
    <x v="0"/>
    <x v="4"/>
    <x v="0"/>
    <x v="0"/>
    <n v="2"/>
    <n v="25927"/>
    <n v="51854"/>
    <s v="Normal"/>
    <s v="2024-05"/>
    <x v="5"/>
  </r>
  <r>
    <n v="1288"/>
    <s v="2024-06-27"/>
    <x v="1"/>
    <x v="1"/>
    <x v="2"/>
    <x v="1"/>
    <n v="5"/>
    <n v="49626"/>
    <n v="248130"/>
    <s v="High"/>
    <s v="2024-06"/>
    <x v="4"/>
  </r>
  <r>
    <n v="1289"/>
    <s v="2024-03-15"/>
    <x v="1"/>
    <x v="0"/>
    <x v="0"/>
    <x v="0"/>
    <n v="2"/>
    <n v="26223"/>
    <n v="52446"/>
    <s v="Normal"/>
    <s v="2024-03"/>
    <x v="3"/>
  </r>
  <r>
    <n v="1290"/>
    <s v="2024-03-17"/>
    <x v="0"/>
    <x v="5"/>
    <x v="6"/>
    <x v="0"/>
    <n v="1"/>
    <n v="9690"/>
    <n v="9690"/>
    <s v="Normal"/>
    <s v="2024-03"/>
    <x v="3"/>
  </r>
  <r>
    <n v="1291"/>
    <s v="2024-04-04"/>
    <x v="1"/>
    <x v="1"/>
    <x v="3"/>
    <x v="1"/>
    <n v="3"/>
    <n v="28803"/>
    <n v="86409"/>
    <s v="Normal"/>
    <s v="2024-04"/>
    <x v="1"/>
  </r>
  <r>
    <n v="1292"/>
    <s v="2024-01-07"/>
    <x v="1"/>
    <x v="3"/>
    <x v="3"/>
    <x v="1"/>
    <n v="7"/>
    <n v="32145"/>
    <n v="225015"/>
    <s v="High"/>
    <s v="2024-01"/>
    <x v="0"/>
  </r>
  <r>
    <n v="1293"/>
    <s v="2024-03-08"/>
    <x v="0"/>
    <x v="4"/>
    <x v="5"/>
    <x v="0"/>
    <n v="5"/>
    <n v="2674"/>
    <n v="13370"/>
    <s v="Normal"/>
    <s v="2024-03"/>
    <x v="3"/>
  </r>
  <r>
    <n v="1294"/>
    <s v="2024-04-06"/>
    <x v="2"/>
    <x v="2"/>
    <x v="2"/>
    <x v="1"/>
    <n v="3"/>
    <n v="50007"/>
    <n v="150021"/>
    <s v="High"/>
    <s v="2024-04"/>
    <x v="1"/>
  </r>
  <r>
    <n v="1295"/>
    <s v="2024-03-24"/>
    <x v="3"/>
    <x v="4"/>
    <x v="5"/>
    <x v="0"/>
    <n v="10"/>
    <n v="4688"/>
    <n v="46880"/>
    <s v="Normal"/>
    <s v="2024-03"/>
    <x v="3"/>
  </r>
  <r>
    <n v="1296"/>
    <s v="2024-01-20"/>
    <x v="2"/>
    <x v="2"/>
    <x v="1"/>
    <x v="1"/>
    <n v="8"/>
    <n v="13389"/>
    <n v="107112"/>
    <s v="High"/>
    <s v="2024-01"/>
    <x v="0"/>
  </r>
  <r>
    <n v="1297"/>
    <s v="2024-03-01"/>
    <x v="1"/>
    <x v="4"/>
    <x v="0"/>
    <x v="0"/>
    <n v="5"/>
    <n v="24305"/>
    <n v="121525"/>
    <s v="High"/>
    <s v="2024-03"/>
    <x v="3"/>
  </r>
  <r>
    <n v="1298"/>
    <s v="2024-04-02"/>
    <x v="3"/>
    <x v="0"/>
    <x v="5"/>
    <x v="0"/>
    <n v="3"/>
    <n v="1932"/>
    <n v="5796"/>
    <s v="Normal"/>
    <s v="2024-04"/>
    <x v="1"/>
  </r>
  <r>
    <n v="1299"/>
    <s v="2024-06-09"/>
    <x v="3"/>
    <x v="0"/>
    <x v="0"/>
    <x v="0"/>
    <n v="1"/>
    <n v="25395"/>
    <n v="25395"/>
    <s v="Normal"/>
    <s v="2024-06"/>
    <x v="4"/>
  </r>
  <r>
    <n v="1300"/>
    <s v="2024-04-21"/>
    <x v="2"/>
    <x v="4"/>
    <x v="2"/>
    <x v="1"/>
    <n v="2"/>
    <n v="52892"/>
    <n v="105784"/>
    <s v="High"/>
    <s v="2024-0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2C97B9-72F2-4B8C-B655-C367CB2AF7E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T82:U89"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showAll="0"/>
    <pivotField showAll="0">
      <items count="3">
        <item x="1"/>
        <item x="0"/>
        <item t="default"/>
      </items>
    </pivotField>
    <pivotField showAll="0"/>
    <pivotField showAll="0"/>
    <pivotField dataField="1" showAll="0"/>
    <pivotField showAll="0"/>
    <pivotField showAll="0"/>
    <pivotField axis="axisRow" showAll="0">
      <items count="7">
        <item x="0"/>
        <item x="2"/>
        <item x="3"/>
        <item x="1"/>
        <item x="5"/>
        <item x="4"/>
        <item t="default"/>
      </items>
    </pivotField>
  </pivotFields>
  <rowFields count="1">
    <field x="11"/>
  </rowFields>
  <rowItems count="7">
    <i>
      <x/>
    </i>
    <i>
      <x v="1"/>
    </i>
    <i>
      <x v="2"/>
    </i>
    <i>
      <x v="3"/>
    </i>
    <i>
      <x v="4"/>
    </i>
    <i>
      <x v="5"/>
    </i>
    <i t="grand">
      <x/>
    </i>
  </rowItems>
  <colItems count="1">
    <i/>
  </colItems>
  <dataFields count="1">
    <dataField name="Sum of Total Sales" fld="8" baseField="3" baseItem="4" numFmtId="165"/>
  </dataFields>
  <formats count="1">
    <format dxfId="4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F3CC44-BC15-450F-9F8D-6E898611648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70:W78" firstHeaderRow="1" firstDataRow="2" firstDataCol="1"/>
  <pivotFields count="12">
    <pivotField showAll="0"/>
    <pivotField showAll="0"/>
    <pivotField showAll="0">
      <items count="5">
        <item x="1"/>
        <item x="2"/>
        <item x="0"/>
        <item x="3"/>
        <item t="default"/>
      </items>
    </pivotField>
    <pivotField axis="axisRow" showAll="0">
      <items count="7">
        <item x="5"/>
        <item x="1"/>
        <item x="0"/>
        <item x="4"/>
        <item x="2"/>
        <item x="3"/>
        <item t="default"/>
      </items>
    </pivotField>
    <pivotField showAll="0"/>
    <pivotField axis="axisCol"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3"/>
  </rowFields>
  <rowItems count="7">
    <i>
      <x/>
    </i>
    <i>
      <x v="1"/>
    </i>
    <i>
      <x v="2"/>
    </i>
    <i>
      <x v="3"/>
    </i>
    <i>
      <x v="4"/>
    </i>
    <i>
      <x v="5"/>
    </i>
    <i t="grand">
      <x/>
    </i>
  </rowItems>
  <colFields count="1">
    <field x="5"/>
  </colFields>
  <colItems count="3">
    <i>
      <x/>
    </i>
    <i>
      <x v="1"/>
    </i>
    <i t="grand">
      <x/>
    </i>
  </colItems>
  <dataFields count="1">
    <dataField name="Sum of Total Sales" fld="8" baseField="3" baseItem="4" numFmtId="165"/>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50DAC-7445-4F42-9CB7-2FC0FABB45A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141:V142" firstHeaderRow="1" firstDataRow="1" firstDataCol="0"/>
  <pivotFields count="12">
    <pivotField showAll="0"/>
    <pivotField showAll="0"/>
    <pivotField showAll="0">
      <items count="5">
        <item x="1"/>
        <item x="2"/>
        <item x="0"/>
        <item x="3"/>
        <item t="default"/>
      </items>
    </pivotField>
    <pivotField showAll="0"/>
    <pivotField showAll="0"/>
    <pivotField showAll="0"/>
    <pivotField showAll="0"/>
    <pivotField showAll="0"/>
    <pivotField dataField="1" showAll="0"/>
    <pivotField showAll="0"/>
    <pivotField showAll="0"/>
    <pivotField showAll="0">
      <items count="7">
        <item x="0"/>
        <item x="2"/>
        <item x="3"/>
        <item x="1"/>
        <item x="5"/>
        <item x="4"/>
        <item t="default"/>
      </items>
    </pivotField>
  </pivotFields>
  <rowItems count="1">
    <i/>
  </rowItems>
  <colItems count="1">
    <i/>
  </colItems>
  <dataFields count="1">
    <dataField name="Avg Sales" fld="8" subtotal="average" baseField="0" baseItem="9"/>
  </dataFields>
  <formats count="7">
    <format dxfId="49">
      <pivotArea dataOnly="0" labelOnly="1" outline="0" axis="axisValues" fieldPosition="0"/>
    </format>
    <format dxfId="48">
      <pivotArea dataOnly="0" labelOnly="1" outline="0" axis="axisValues" fieldPosition="0"/>
    </format>
    <format dxfId="47">
      <pivotArea dataOnly="0" labelOnly="1" outline="0" axis="axisValues" fieldPosition="0"/>
    </format>
    <format dxfId="46">
      <pivotArea dataOnly="0" labelOnly="1" outline="0" axis="axisValues" fieldPosition="0"/>
    </format>
    <format dxfId="45">
      <pivotArea outline="0" collapsedLevelsAreSubtotals="1" fieldPosition="0"/>
    </format>
    <format dxfId="44">
      <pivotArea outline="0" collapsedLevelsAreSubtotals="1" fieldPosition="0"/>
    </format>
    <format dxfId="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05A15-ACA9-4CDA-A107-F20B27EA849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60:U65" firstHeaderRow="1" firstDataRow="1" firstDataCol="1"/>
  <pivotFields count="12">
    <pivotField showAll="0"/>
    <pivotField showAll="0"/>
    <pivotField axis="axisRow" showAll="0">
      <items count="5">
        <item x="1"/>
        <item x="2"/>
        <item x="0"/>
        <item x="3"/>
        <item t="default"/>
      </items>
    </pivotField>
    <pivotField showAll="0"/>
    <pivotField showAll="0"/>
    <pivotField showAll="0"/>
    <pivotField showAll="0"/>
    <pivotField showAll="0"/>
    <pivotField dataField="1" showAll="0"/>
    <pivotField showAll="0"/>
    <pivotField showAll="0"/>
    <pivotField showAll="0">
      <items count="7">
        <item x="0"/>
        <item x="2"/>
        <item x="3"/>
        <item x="1"/>
        <item x="5"/>
        <item x="4"/>
        <item t="default"/>
      </items>
    </pivotField>
  </pivotFields>
  <rowFields count="1">
    <field x="2"/>
  </rowFields>
  <rowItems count="5">
    <i>
      <x/>
    </i>
    <i>
      <x v="1"/>
    </i>
    <i>
      <x v="2"/>
    </i>
    <i>
      <x v="3"/>
    </i>
    <i t="grand">
      <x/>
    </i>
  </rowItems>
  <colItems count="1">
    <i/>
  </colItems>
  <dataFields count="1">
    <dataField name=" Total Sales" fld="8" baseField="2"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E0ED2-CB40-4AD6-A768-B6C45A80782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141:T142" firstHeaderRow="1" firstDataRow="1" firstDataCol="0"/>
  <pivotFields count="12">
    <pivotField showAll="0"/>
    <pivotField showAll="0"/>
    <pivotField showAll="0">
      <items count="5">
        <item x="1"/>
        <item x="2"/>
        <item x="0"/>
        <item x="3"/>
        <item t="default"/>
      </items>
    </pivotField>
    <pivotField showAll="0"/>
    <pivotField showAll="0"/>
    <pivotField showAll="0"/>
    <pivotField showAll="0"/>
    <pivotField showAll="0"/>
    <pivotField dataField="1" showAll="0"/>
    <pivotField showAll="0"/>
    <pivotField showAll="0"/>
    <pivotField showAll="0">
      <items count="7">
        <item x="0"/>
        <item x="2"/>
        <item x="3"/>
        <item x="1"/>
        <item x="5"/>
        <item x="4"/>
        <item t="default"/>
      </items>
    </pivotField>
  </pivotFields>
  <rowItems count="1">
    <i/>
  </rowItems>
  <colItems count="1">
    <i/>
  </colItems>
  <dataFields count="1">
    <dataField name=" Total Sales" fld="8" baseField="2" baseItem="0"/>
  </dataFields>
  <formats count="7">
    <format dxfId="57">
      <pivotArea dataOnly="0" labelOnly="1" outline="0" axis="axisValues" fieldPosition="0"/>
    </format>
    <format dxfId="56">
      <pivotArea dataOnly="0" labelOnly="1" outline="0" axis="axisValues" fieldPosition="0"/>
    </format>
    <format dxfId="55">
      <pivotArea dataOnly="0" labelOnly="1" outline="0" axis="axisValues" fieldPosition="0"/>
    </format>
    <format dxfId="54">
      <pivotArea dataOnly="0" labelOnly="1" outline="0" axis="axisValues" fieldPosition="0"/>
    </format>
    <format dxfId="53">
      <pivotArea dataOnly="0" labelOnly="1" outline="0" axis="axisValues" fieldPosition="0"/>
    </format>
    <format dxfId="52">
      <pivotArea outline="0" collapsedLevelsAreSubtotals="1"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2F02D7-1FBC-41DD-B52F-5DF3948B581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Z106:AA114"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axis="axisRow" showAll="0">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4"/>
  </rowFields>
  <rowItems count="8">
    <i>
      <x/>
    </i>
    <i>
      <x v="1"/>
    </i>
    <i>
      <x v="2"/>
    </i>
    <i>
      <x v="3"/>
    </i>
    <i>
      <x v="4"/>
    </i>
    <i>
      <x v="5"/>
    </i>
    <i>
      <x v="6"/>
    </i>
    <i t="grand">
      <x/>
    </i>
  </rowItems>
  <colItems count="1">
    <i/>
  </colItems>
  <dataFields count="1">
    <dataField name="Sum of Total Sales" fld="8" baseField="3" baseItem="4" numFmtId="165"/>
  </dataFields>
  <formats count="1">
    <format dxfId="5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9324E1-9D1D-4602-9A09-3A6F8A1059E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141:X142" firstHeaderRow="1" firstDataRow="1" firstDataCol="0"/>
  <pivotFields count="12">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items count="7">
        <item x="0"/>
        <item x="2"/>
        <item x="3"/>
        <item x="1"/>
        <item x="5"/>
        <item x="4"/>
        <item t="default"/>
      </items>
    </pivotField>
  </pivotFields>
  <rowItems count="1">
    <i/>
  </rowItems>
  <colItems count="1">
    <i/>
  </colItems>
  <dataFields count="1">
    <dataField name="Total Orders" fld="0" subtotal="count" baseField="0" baseItem="59835061"/>
  </dataFields>
  <formats count="7">
    <format dxfId="65">
      <pivotArea dataOnly="0" labelOnly="1" outline="0" axis="axisValues" fieldPosition="0"/>
    </format>
    <format dxfId="64">
      <pivotArea dataOnly="0" labelOnly="1" outline="0" axis="axisValues" fieldPosition="0"/>
    </format>
    <format dxfId="63">
      <pivotArea dataOnly="0" labelOnly="1" outline="0" axis="axisValues" fieldPosition="0"/>
    </format>
    <format dxfId="62">
      <pivotArea dataOnly="0" labelOnly="1" outline="0" axis="axisValues" fieldPosition="0"/>
    </format>
    <format dxfId="61">
      <pivotArea outline="0" collapsedLevelsAreSubtotals="1" fieldPosition="0"/>
    </format>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BCE08E-DCCD-40E9-97CF-46E8526810AF}" name="PivotTable19"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Product">
  <location ref="J22:K29"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axis="axisRow" showAll="0">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4"/>
  </rowFields>
  <rowItems count="7">
    <i>
      <x/>
    </i>
    <i>
      <x v="1"/>
    </i>
    <i>
      <x v="2"/>
    </i>
    <i>
      <x v="3"/>
    </i>
    <i>
      <x v="4"/>
    </i>
    <i>
      <x v="5"/>
    </i>
    <i>
      <x v="6"/>
    </i>
  </rowItems>
  <colItems count="1">
    <i/>
  </colItems>
  <dataFields count="1">
    <dataField name="Total_Sales" fld="8" baseField="3" baseItem="0" numFmtId="165"/>
  </dataFields>
  <formats count="5">
    <format dxfId="17">
      <pivotArea field="4" type="button" dataOnly="0" labelOnly="1" outline="0" axis="axisRow" fieldPosition="0"/>
    </format>
    <format dxfId="16">
      <pivotArea dataOnly="0" labelOnly="1" outline="0" axis="axisValues" fieldPosition="0"/>
    </format>
    <format dxfId="15">
      <pivotArea outline="0" collapsedLevelsAreSubtotals="1" fieldPosition="0"/>
    </format>
    <format dxfId="14">
      <pivotArea outline="0" collapsedLevelsAreSubtotals="1" fieldPosition="0"/>
    </format>
    <format dxfId="13">
      <pivotArea dataOnly="0" labelOnly="1" outline="0" axis="axisValues" fieldPosition="0"/>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97FDB3-9E73-4974-9CEE-98B57AC2A406}" name="PivotTable11" cacheId="0"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rowHeaderCaption="Sales Person">
  <location ref="C13:D19" firstHeaderRow="1" firstDataRow="1" firstDataCol="1"/>
  <pivotFields count="12">
    <pivotField compact="0" outline="0" showAll="0"/>
    <pivotField compact="0" outline="0" showAll="0"/>
    <pivotField compact="0" outline="0" showAll="0">
      <items count="5">
        <item x="1"/>
        <item x="2"/>
        <item x="0"/>
        <item x="3"/>
        <item t="default"/>
      </items>
    </pivotField>
    <pivotField axis="axisRow" compact="0" outline="0" showAll="0">
      <items count="7">
        <item x="5"/>
        <item x="1"/>
        <item x="0"/>
        <item x="4"/>
        <item x="2"/>
        <item x="3"/>
        <item t="default"/>
      </items>
    </pivotField>
    <pivotField compact="0" outline="0" showAll="0"/>
    <pivotField compact="0" outline="0" showAll="0">
      <items count="3">
        <item x="1"/>
        <item x="0"/>
        <item t="default"/>
      </items>
    </pivotField>
    <pivotField compact="0" outline="0" showAll="0"/>
    <pivotField compact="0" outline="0" showAll="0"/>
    <pivotField dataField="1" compact="0" outline="0" showAll="0"/>
    <pivotField compact="0" outline="0" showAll="0"/>
    <pivotField compact="0" outline="0" showAll="0"/>
    <pivotField compact="0" outline="0" showAll="0">
      <items count="7">
        <item x="0"/>
        <item x="2"/>
        <item x="3"/>
        <item x="1"/>
        <item x="5"/>
        <item x="4"/>
        <item t="default"/>
      </items>
    </pivotField>
  </pivotFields>
  <rowFields count="1">
    <field x="3"/>
  </rowFields>
  <rowItems count="6">
    <i>
      <x/>
    </i>
    <i>
      <x v="1"/>
    </i>
    <i>
      <x v="2"/>
    </i>
    <i>
      <x v="3"/>
    </i>
    <i>
      <x v="4"/>
    </i>
    <i>
      <x v="5"/>
    </i>
  </rowItems>
  <colItems count="1">
    <i/>
  </colItems>
  <dataFields count="1">
    <dataField name="Total_Sales" fld="8" baseField="3" baseItem="0" numFmtId="165"/>
  </dataFields>
  <formats count="4">
    <format dxfId="21">
      <pivotArea field="3" type="button" dataOnly="0" labelOnly="1" outline="0" axis="axisRow" fieldPosition="0"/>
    </format>
    <format dxfId="20">
      <pivotArea dataOnly="0" labelOnly="1" outline="0" axis="axisValues" fieldPosition="0"/>
    </format>
    <format dxfId="19">
      <pivotArea outline="0" collapsedLevelsAreSubtotals="1" fieldPosition="0"/>
    </format>
    <format dxfId="18">
      <pivotArea outline="0" collapsedLevelsAreSubtotals="1"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8699A7-9D9E-457D-AA6A-AC29272C4328}" name="PivotTable23"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Region">
  <location ref="C27:D31" firstHeaderRow="1" firstDataRow="1" firstDataCol="1"/>
  <pivotFields count="12">
    <pivotField showAll="0"/>
    <pivotField showAll="0"/>
    <pivotField axis="axisRow" showAll="0">
      <items count="5">
        <item x="1"/>
        <item x="2"/>
        <item x="0"/>
        <item x="3"/>
        <item t="default"/>
      </items>
    </pivotField>
    <pivotField showAll="0">
      <items count="7">
        <item x="5"/>
        <item x="1"/>
        <item x="0"/>
        <item x="4"/>
        <item x="2"/>
        <item x="3"/>
        <item t="default"/>
      </items>
    </pivotField>
    <pivotField showAll="0">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2"/>
  </rowFields>
  <rowItems count="4">
    <i>
      <x/>
    </i>
    <i>
      <x v="1"/>
    </i>
    <i>
      <x v="2"/>
    </i>
    <i>
      <x v="3"/>
    </i>
  </rowItems>
  <colItems count="1">
    <i/>
  </colItems>
  <dataFields count="1">
    <dataField name="Total_Sales" fld="8" baseField="3" baseItem="0" numFmtId="165"/>
  </dataFields>
  <formats count="8">
    <format dxfId="29">
      <pivotArea field="5" type="button" dataOnly="0" labelOnly="1" outline="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field="2" type="button" dataOnly="0" labelOnly="1" outline="0" axis="axisRow" fieldPosition="0"/>
    </format>
    <format dxfId="24">
      <pivotArea outline="0" collapsedLevelsAreSubtotals="1" fieldPosition="0"/>
    </format>
    <format dxfId="23">
      <pivotArea outline="0" collapsedLevelsAreSubtotals="1" fieldPosition="0"/>
    </format>
    <format dxfId="22">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09CB01-2149-4F23-A3C8-3031FC338E15}" name="PivotTable22"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Month">
  <location ref="J13:K19"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showAll="0"/>
    <pivotField showAll="0">
      <items count="3">
        <item x="1"/>
        <item x="0"/>
        <item t="default"/>
      </items>
    </pivotField>
    <pivotField showAll="0"/>
    <pivotField showAll="0"/>
    <pivotField dataField="1" showAll="0"/>
    <pivotField showAll="0"/>
    <pivotField showAll="0"/>
    <pivotField axis="axisRow" showAll="0">
      <items count="7">
        <item x="0"/>
        <item x="2"/>
        <item x="3"/>
        <item x="1"/>
        <item x="5"/>
        <item x="4"/>
        <item t="default"/>
      </items>
    </pivotField>
  </pivotFields>
  <rowFields count="1">
    <field x="11"/>
  </rowFields>
  <rowItems count="6">
    <i>
      <x/>
    </i>
    <i>
      <x v="1"/>
    </i>
    <i>
      <x v="2"/>
    </i>
    <i>
      <x v="3"/>
    </i>
    <i>
      <x v="4"/>
    </i>
    <i>
      <x v="5"/>
    </i>
  </rowItems>
  <colItems count="1">
    <i/>
  </colItems>
  <dataFields count="1">
    <dataField name="Total_Sales" fld="8" baseField="3" baseItem="0" numFmtId="165"/>
  </dataFields>
  <formats count="4">
    <format dxfId="33">
      <pivotArea field="11" type="button" dataOnly="0" labelOnly="1" outline="0" axis="axisRow" fieldPosition="0"/>
    </format>
    <format dxfId="32">
      <pivotArea dataOnly="0" labelOnly="1" outline="0" axis="axisValues" fieldPosition="0"/>
    </format>
    <format dxfId="31">
      <pivotArea outline="0" collapsedLevelsAreSubtotals="1" fieldPosition="0"/>
    </format>
    <format dxfId="30">
      <pivotArea outline="0" collapsedLevelsAreSubtotals="1" fieldPosition="0"/>
    </format>
  </format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E0AA6C-F85F-488E-AF78-C68A83642432}" name="PivotTable20"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Category">
  <location ref="C22:D24"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showAll="0">
      <items count="8">
        <item x="5"/>
        <item x="6"/>
        <item x="2"/>
        <item x="4"/>
        <item x="1"/>
        <item x="0"/>
        <item x="3"/>
        <item t="default"/>
      </items>
    </pivotField>
    <pivotField axis="axisRow"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5"/>
  </rowFields>
  <rowItems count="2">
    <i>
      <x/>
    </i>
    <i>
      <x v="1"/>
    </i>
  </rowItems>
  <colItems count="1">
    <i/>
  </colItems>
  <dataFields count="1">
    <dataField name="Total_Sales" fld="8" baseField="3" baseItem="0" numFmtId="165"/>
  </dataFields>
  <formats count="7">
    <format dxfId="40">
      <pivotArea field="5"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outline="0" collapsedLevelsAreSubtotals="1" fieldPosition="0"/>
    </format>
    <format dxfId="35">
      <pivotArea outline="0" collapsedLevelsAreSubtotals="1" fieldPosition="0"/>
    </format>
    <format dxfId="34">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AB7FB8-6E48-4DF0-8FF5-63FC27820538}" name="PivotTable2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Product">
  <location ref="B58:C63" firstHeaderRow="1" firstDataRow="1" firstDataCol="1"/>
  <pivotFields count="12">
    <pivotField showAll="0"/>
    <pivotField showAll="0"/>
    <pivotField showAll="0">
      <items count="5">
        <item x="1"/>
        <item x="2"/>
        <item x="0"/>
        <item x="3"/>
        <item t="default"/>
      </items>
    </pivotField>
    <pivotField showAll="0">
      <items count="7">
        <item x="5"/>
        <item x="1"/>
        <item x="0"/>
        <item x="4"/>
        <item x="2"/>
        <item x="3"/>
        <item t="default"/>
      </items>
    </pivotField>
    <pivotField axis="axisRow" showAll="0" measureFilter="1">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4"/>
  </rowFields>
  <rowItems count="5">
    <i>
      <x v="2"/>
    </i>
    <i>
      <x v="3"/>
    </i>
    <i>
      <x v="4"/>
    </i>
    <i>
      <x v="5"/>
    </i>
    <i>
      <x v="6"/>
    </i>
  </rowItems>
  <colItems count="1">
    <i/>
  </colItems>
  <dataFields count="1">
    <dataField name="Total__Sales" fld="8" baseField="4" baseItem="2" numFmtId="165"/>
  </dataFields>
  <formats count="6">
    <format dxfId="12">
      <pivotArea dataOnly="0" labelOnly="1" outline="0" axis="axisValues" fieldPosition="0"/>
    </format>
    <format dxfId="11">
      <pivotArea field="4" type="button" dataOnly="0" labelOnly="1" outline="0" axis="axisRow" fieldPosition="0"/>
    </format>
    <format dxfId="10">
      <pivotArea outline="0" collapsedLevelsAreSubtotals="1" fieldPosition="0"/>
    </format>
    <format dxfId="9">
      <pivotArea field="4" type="button" dataOnly="0" labelOnly="1" outline="0" axis="axisRow" fieldPosition="0"/>
    </format>
    <format dxfId="8">
      <pivotArea dataOnly="0" labelOnly="1" outline="0" axis="axisValues" fieldPosition="0"/>
    </format>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BB956F-48BA-4F2F-B71D-325EB351CCF6}" name="PivotTable3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24:F25" firstHeaderRow="1" firstDataRow="1" firstDataCol="0"/>
  <pivotFields count="12">
    <pivotField showAll="0"/>
    <pivotField showAll="0"/>
    <pivotField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EEC6F5E-154A-4E42-8074-9749A51F77AB}" name="dash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2:F9" firstHeaderRow="1" firstDataRow="1" firstDataCol="1"/>
  <pivotFields count="12">
    <pivotField showAll="0"/>
    <pivotField showAll="0"/>
    <pivotField showAll="0">
      <items count="5">
        <item x="1"/>
        <item x="2"/>
        <item x="0"/>
        <item x="3"/>
        <item t="default"/>
      </items>
    </pivotField>
    <pivotField showAll="0"/>
    <pivotField showAll="0">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axis="axisRow" showAll="0">
      <items count="7">
        <item x="0"/>
        <item x="2"/>
        <item x="3"/>
        <item x="1"/>
        <item x="5"/>
        <item x="4"/>
        <item t="default"/>
      </items>
    </pivotField>
  </pivotFields>
  <rowFields count="1">
    <field x="11"/>
  </rowFields>
  <rowItems count="7">
    <i>
      <x/>
    </i>
    <i>
      <x v="1"/>
    </i>
    <i>
      <x v="2"/>
    </i>
    <i>
      <x v="3"/>
    </i>
    <i>
      <x v="4"/>
    </i>
    <i>
      <x v="5"/>
    </i>
    <i t="grand">
      <x/>
    </i>
  </rowItems>
  <colItems count="1">
    <i/>
  </colItems>
  <dataFields count="1">
    <dataField name="Sum of Total Sales" fld="8" baseField="0" baseItem="0" numFmtId="16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D63E54-03C9-488E-8C64-777896CD2DBC}" name="PivotTable2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4:E25" firstHeaderRow="1" firstDataRow="1" firstDataCol="0"/>
  <pivotFields count="12">
    <pivotField dataField="1" showAll="0"/>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CAAF951-37E9-4B7D-A261-D3B8C85FC482}"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21:F22" firstHeaderRow="1" firstDataRow="1" firstDataCol="0"/>
  <pivotFields count="12">
    <pivotField showAll="0"/>
    <pivotField showAll="0"/>
    <pivotField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Unit_Price" fld="7"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976A12F-8A8B-40C1-ABA7-6B6F0ECA5FDA}"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1:E22" firstHeaderRow="1" firstDataRow="1" firstDataCol="0"/>
  <pivotFields count="12">
    <pivotField showAll="0"/>
    <pivotField showAll="0"/>
    <pivotField showAll="0">
      <items count="5">
        <item x="1"/>
        <item x="2"/>
        <item x="0"/>
        <item x="3"/>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 Sales" fld="8" baseField="0" baseItem="0" numFmtId="165"/>
  </dataFields>
  <formats count="1">
    <format dxfId="1">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CF822CF-1369-465F-AB0C-790E6DCEFF28}" name="dash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1:F19" firstHeaderRow="1" firstDataRow="1" firstDataCol="1"/>
  <pivotFields count="12">
    <pivotField showAll="0"/>
    <pivotField showAll="0"/>
    <pivotField showAll="0">
      <items count="5">
        <item x="1"/>
        <item x="2"/>
        <item x="0"/>
        <item x="3"/>
        <item t="default"/>
      </items>
    </pivotField>
    <pivotField showAll="0"/>
    <pivotField axis="axisRow" showAll="0">
      <items count="8">
        <item x="5"/>
        <item x="6"/>
        <item x="2"/>
        <item x="4"/>
        <item x="1"/>
        <item x="0"/>
        <item x="3"/>
        <item t="default"/>
      </items>
    </pivotField>
    <pivotField showAll="0">
      <items count="3">
        <item x="1"/>
        <item x="0"/>
        <item t="default"/>
      </items>
    </pivotField>
    <pivotField dataField="1" showAll="0"/>
    <pivotField showAll="0"/>
    <pivotField showAll="0"/>
    <pivotField showAll="0"/>
    <pivotField showAll="0"/>
    <pivotField showAll="0">
      <items count="7">
        <item x="0"/>
        <item x="2"/>
        <item x="3"/>
        <item x="1"/>
        <item x="5"/>
        <item x="4"/>
        <item t="default"/>
      </items>
    </pivotField>
  </pivotFields>
  <rowFields count="1">
    <field x="4"/>
  </rowFields>
  <rowItems count="8">
    <i>
      <x/>
    </i>
    <i>
      <x v="1"/>
    </i>
    <i>
      <x v="2"/>
    </i>
    <i>
      <x v="3"/>
    </i>
    <i>
      <x v="4"/>
    </i>
    <i>
      <x v="5"/>
    </i>
    <i>
      <x v="6"/>
    </i>
    <i t="grand">
      <x/>
    </i>
  </rowItems>
  <colItems count="1">
    <i/>
  </colItems>
  <dataFields count="1">
    <dataField name="Sum of Quantity" fld="6" baseField="0" baseItem="0"/>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4DBF135-A651-4BBA-A05D-F200B8F324BC}" name="dash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2:C7" firstHeaderRow="1" firstDataRow="1" firstDataCol="1"/>
  <pivotFields count="12">
    <pivotField showAll="0"/>
    <pivotField showAll="0"/>
    <pivotField axis="axisRow" showAll="0">
      <items count="5">
        <item x="1"/>
        <item x="2"/>
        <item x="0"/>
        <item x="3"/>
        <item t="default"/>
      </items>
    </pivotField>
    <pivotField showAll="0"/>
    <pivotField showAll="0"/>
    <pivotField showAll="0"/>
    <pivotField showAll="0"/>
    <pivotField showAll="0"/>
    <pivotField dataField="1" showAll="0"/>
    <pivotField showAll="0"/>
    <pivotField showAll="0"/>
    <pivotField showAll="0">
      <items count="7">
        <item x="0"/>
        <item x="2"/>
        <item x="3"/>
        <item x="1"/>
        <item x="5"/>
        <item x="4"/>
        <item t="default"/>
      </items>
    </pivotField>
  </pivotFields>
  <rowFields count="1">
    <field x="2"/>
  </rowFields>
  <rowItems count="5">
    <i>
      <x/>
    </i>
    <i>
      <x v="1"/>
    </i>
    <i>
      <x v="2"/>
    </i>
    <i>
      <x v="3"/>
    </i>
    <i t="grand">
      <x/>
    </i>
  </rowItems>
  <colItems count="1">
    <i/>
  </colItems>
  <dataFields count="1">
    <dataField name="Sum of Total Sales" fld="8" baseField="0" baseItem="0" numFmtId="165"/>
  </dataFields>
  <formats count="1">
    <format dxfId="3">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9B59A82-D73A-48FC-AD46-22B662922269}" name="dash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9:C27" firstHeaderRow="1" firstDataRow="1" firstDataCol="1"/>
  <pivotFields count="12">
    <pivotField showAll="0"/>
    <pivotField showAll="0"/>
    <pivotField showAll="0">
      <items count="5">
        <item x="1"/>
        <item x="2"/>
        <item x="0"/>
        <item x="3"/>
        <item t="default"/>
      </items>
    </pivotField>
    <pivotField showAll="0"/>
    <pivotField axis="axisRow" showAll="0">
      <items count="8">
        <item x="5"/>
        <item x="6"/>
        <item x="2"/>
        <item x="4"/>
        <item x="1"/>
        <item x="0"/>
        <item x="3"/>
        <item t="default"/>
      </items>
    </pivotField>
    <pivotField showAll="0">
      <items count="3">
        <item x="1"/>
        <item x="0"/>
        <item t="default"/>
      </items>
    </pivotField>
    <pivotField showAll="0"/>
    <pivotField dataField="1" showAll="0"/>
    <pivotField showAll="0"/>
    <pivotField showAll="0"/>
    <pivotField showAll="0"/>
    <pivotField showAll="0">
      <items count="7">
        <item x="0"/>
        <item x="2"/>
        <item x="3"/>
        <item x="1"/>
        <item x="5"/>
        <item x="4"/>
        <item t="default"/>
      </items>
    </pivotField>
  </pivotFields>
  <rowFields count="1">
    <field x="4"/>
  </rowFields>
  <rowItems count="8">
    <i>
      <x/>
    </i>
    <i>
      <x v="1"/>
    </i>
    <i>
      <x v="2"/>
    </i>
    <i>
      <x v="3"/>
    </i>
    <i>
      <x v="4"/>
    </i>
    <i>
      <x v="5"/>
    </i>
    <i>
      <x v="6"/>
    </i>
    <i t="grand">
      <x/>
    </i>
  </rowItems>
  <colItems count="1">
    <i/>
  </colItems>
  <dataFields count="1">
    <dataField name="Average of Unit_Price" fld="7" subtotal="average" baseField="4" baseItem="0" numFmtId="164"/>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7688D4C-7FB6-40FA-A12A-F9C6B137D9EE}" name="dash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9:C17" firstHeaderRow="1" firstDataRow="1" firstDataCol="1"/>
  <pivotFields count="12">
    <pivotField showAll="0"/>
    <pivotField showAll="0"/>
    <pivotField showAll="0">
      <items count="5">
        <item x="1"/>
        <item x="2"/>
        <item x="0"/>
        <item x="3"/>
        <item t="default"/>
      </items>
    </pivotField>
    <pivotField showAll="0"/>
    <pivotField axis="axisRow" showAll="0">
      <items count="8">
        <item x="5"/>
        <item x="6"/>
        <item x="2"/>
        <item x="4"/>
        <item x="1"/>
        <item x="0"/>
        <item x="3"/>
        <item t="default"/>
      </items>
    </pivotField>
    <pivotField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4"/>
  </rowFields>
  <rowItems count="8">
    <i>
      <x/>
    </i>
    <i>
      <x v="1"/>
    </i>
    <i>
      <x v="2"/>
    </i>
    <i>
      <x v="3"/>
    </i>
    <i>
      <x v="4"/>
    </i>
    <i>
      <x v="5"/>
    </i>
    <i>
      <x v="6"/>
    </i>
    <i t="grand">
      <x/>
    </i>
  </rowItems>
  <colItems count="1">
    <i/>
  </colItems>
  <dataFields count="1">
    <dataField name="Sum of Total Sales" fld="8" baseField="0" baseItem="0" numFmtId="165"/>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2B5DEE8-F7F0-4489-BDA6-C56DFE2B5985}" name="dash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48:I51" firstHeaderRow="1" firstDataRow="1" firstDataCol="1"/>
  <pivotFields count="12">
    <pivotField showAll="0"/>
    <pivotField showAll="0"/>
    <pivotField showAll="0">
      <items count="5">
        <item x="1"/>
        <item x="2"/>
        <item x="0"/>
        <item x="3"/>
        <item t="default"/>
      </items>
    </pivotField>
    <pivotField showAll="0"/>
    <pivotField showAll="0">
      <items count="8">
        <item x="5"/>
        <item x="6"/>
        <item x="2"/>
        <item x="4"/>
        <item x="1"/>
        <item x="0"/>
        <item x="3"/>
        <item t="default"/>
      </items>
    </pivotField>
    <pivotField axis="axisRow" showAll="0">
      <items count="3">
        <item x="1"/>
        <item x="0"/>
        <item t="default"/>
      </items>
    </pivotField>
    <pivotField showAll="0"/>
    <pivotField showAll="0"/>
    <pivotField dataField="1" showAll="0"/>
    <pivotField showAll="0"/>
    <pivotField showAll="0"/>
    <pivotField showAll="0">
      <items count="7">
        <item x="0"/>
        <item x="2"/>
        <item x="3"/>
        <item x="1"/>
        <item x="5"/>
        <item x="4"/>
        <item t="default"/>
      </items>
    </pivotField>
  </pivotFields>
  <rowFields count="1">
    <field x="5"/>
  </rowFields>
  <rowItems count="3">
    <i>
      <x/>
    </i>
    <i>
      <x v="1"/>
    </i>
    <i t="grand">
      <x/>
    </i>
  </rowItems>
  <colItems count="1">
    <i/>
  </colItems>
  <dataFields count="1">
    <dataField name="Sum of Total Sales" fld="8" baseField="0" baseItem="0"/>
  </dataFields>
  <formats count="1">
    <format dxfId="6">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7" format="6">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BB48CD-7D18-4DF3-BF7E-C18C87D9577E}" sourceName="Region">
  <pivotTables>
    <pivotTable tabId="1" name="PivotTable3"/>
    <pivotTable tabId="1" name="PivotTable1"/>
    <pivotTable tabId="1" name="PivotTable2"/>
    <pivotTable tabId="1" name="PivotTable5"/>
    <pivotTable tabId="1" name="PivotTable7"/>
    <pivotTable tabId="1" name="PivotTable8"/>
    <pivotTable tabId="1" name="PivotTable9"/>
    <pivotTable tabId="6" name="PivotTable11"/>
    <pivotTable tabId="6" name="PivotTable19"/>
    <pivotTable tabId="6" name="PivotTable20"/>
    <pivotTable tabId="6" name="PivotTable22"/>
    <pivotTable tabId="6" name="PivotTable23"/>
    <pivotTable tabId="7" name="PivotTable24"/>
  </pivotTables>
  <data>
    <tabular pivotCacheId="294092102">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F22C813-C952-442A-A662-32927024BC6B}" sourceName="Month Name">
  <pivotTables>
    <pivotTable tabId="6" name="PivotTable11"/>
    <pivotTable tabId="6" name="PivotTable19"/>
    <pivotTable tabId="6" name="PivotTable20"/>
    <pivotTable tabId="6" name="PivotTable22"/>
    <pivotTable tabId="1" name="PivotTable1"/>
    <pivotTable tabId="1" name="PivotTable2"/>
    <pivotTable tabId="1" name="PivotTable3"/>
    <pivotTable tabId="1" name="PivotTable5"/>
    <pivotTable tabId="1" name="PivotTable7"/>
    <pivotTable tabId="1" name="PivotTable8"/>
    <pivotTable tabId="1" name="PivotTable9"/>
    <pivotTable tabId="6" name="PivotTable23"/>
    <pivotTable tabId="7" name="PivotTable24"/>
  </pivotTables>
  <data>
    <tabular pivotCacheId="294092102">
      <items count="6">
        <i x="0" s="1"/>
        <i x="2" s="1"/>
        <i x="3"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32BC2892-9F34-489C-897D-0154C4375AFF}" sourceName="Month Name">
  <pivotTables>
    <pivotTable tabId="9" name="dash4"/>
    <pivotTable tabId="9" name="dash1"/>
    <pivotTable tabId="9" name="dash2"/>
    <pivotTable tabId="9" name="dash3"/>
    <pivotTable tabId="9" name="dash5"/>
    <pivotTable tabId="9" name="dash6"/>
  </pivotTables>
  <data>
    <tabular pivotCacheId="294092102">
      <items count="6">
        <i x="0" s="1"/>
        <i x="2" s="1"/>
        <i x="3" s="1"/>
        <i x="1"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C49FAD9-01E7-42B4-BA07-9CEC9AEE91C3}" sourceName="Region">
  <pivotTables>
    <pivotTable tabId="9" name="dash4"/>
  </pivotTables>
  <data>
    <tabular pivotCacheId="294092102">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C1E1DF-A9D2-4475-A994-8C63B3A87C51}" sourceName="Category">
  <pivotTables>
    <pivotTable tabId="9" name="dash2"/>
  </pivotTables>
  <data>
    <tabular pivotCacheId="2940921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29934FB-C93B-40F6-B3E4-B28F16C98875}"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FDF73DB-D3BF-4C57-AFA0-14845C632090}" cache="Slicer_Region" caption="Region" style="SlicerStyleLight6" rowHeight="241300"/>
  <slicer name="Month Name" xr10:uid="{5F5F11E0-4E99-43BA-846B-D6E5582E14E2}" cache="Slicer_Month_Name" caption="Month Nam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4E9BB216-4025-44AF-8D5E-E9C2CA29540A}" cache="Slicer_Month_Name1" caption="Month Name" columnCount="3" style="SlicerStyleLight5" rowHeight="241300"/>
  <slicer name="Region 3" xr10:uid="{B6430956-338B-4666-8AB1-66AC0305A1AB}" cache="Slicer_Region1" caption="Region" columnCount="2" style="SlicerStyleLight5" rowHeight="241300"/>
  <slicer name="Category 1" xr10:uid="{E3ECFE58-C44A-4CEC-A733-AED150542214}" cache="Slicer_Category" caption="Category"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drawing" Target="../drawings/drawing3.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1"/>
  <sheetViews>
    <sheetView tabSelected="1" zoomScaleNormal="100" workbookViewId="0">
      <selection activeCell="AA107" sqref="AA107:AA114"/>
    </sheetView>
  </sheetViews>
  <sheetFormatPr defaultRowHeight="15" x14ac:dyDescent="0.25"/>
  <cols>
    <col min="1" max="1" width="9" bestFit="1" customWidth="1"/>
    <col min="2" max="2" width="11.28515625" bestFit="1" customWidth="1"/>
    <col min="3" max="3" width="7.140625" bestFit="1" customWidth="1"/>
    <col min="4" max="4" width="11.7109375" bestFit="1" customWidth="1"/>
    <col min="5" max="5" width="7.85546875" bestFit="1" customWidth="1"/>
    <col min="6" max="6" width="10.5703125" bestFit="1" customWidth="1"/>
    <col min="7" max="7" width="8.7109375" bestFit="1" customWidth="1"/>
    <col min="8" max="8" width="10.28515625" bestFit="1" customWidth="1"/>
    <col min="9" max="9" width="10.42578125" bestFit="1" customWidth="1"/>
    <col min="10" max="10" width="14.7109375" customWidth="1"/>
    <col min="11" max="11" width="12.140625" customWidth="1"/>
    <col min="12" max="12" width="12.28515625" customWidth="1"/>
    <col min="19" max="19" width="6.28515625" customWidth="1"/>
    <col min="20" max="20" width="15.140625" customWidth="1"/>
    <col min="21" max="21" width="17.28515625" bestFit="1" customWidth="1"/>
    <col min="22" max="22" width="12.28515625" customWidth="1"/>
    <col min="23" max="23" width="13.28515625" customWidth="1"/>
    <col min="24" max="24" width="13.28515625" bestFit="1" customWidth="1"/>
    <col min="26" max="26" width="13.140625" bestFit="1" customWidth="1"/>
    <col min="27" max="27" width="17.28515625" bestFit="1" customWidth="1"/>
    <col min="28" max="28" width="13.140625" bestFit="1" customWidth="1"/>
    <col min="29" max="29" width="17.28515625" bestFit="1" customWidth="1"/>
  </cols>
  <sheetData>
    <row r="1" spans="1:21" x14ac:dyDescent="0.25">
      <c r="A1" s="1" t="s">
        <v>0</v>
      </c>
      <c r="B1" s="1" t="s">
        <v>1</v>
      </c>
      <c r="C1" s="1" t="s">
        <v>2</v>
      </c>
      <c r="D1" s="1" t="s">
        <v>3</v>
      </c>
      <c r="E1" s="1" t="s">
        <v>4</v>
      </c>
      <c r="F1" s="1" t="s">
        <v>5</v>
      </c>
      <c r="G1" s="1" t="s">
        <v>6</v>
      </c>
      <c r="H1" s="1" t="s">
        <v>7</v>
      </c>
      <c r="I1" s="1" t="s">
        <v>212</v>
      </c>
      <c r="J1" s="1" t="s">
        <v>220</v>
      </c>
      <c r="K1" s="5" t="s">
        <v>225</v>
      </c>
      <c r="L1" s="5" t="s">
        <v>226</v>
      </c>
    </row>
    <row r="2" spans="1:21" ht="18.75" x14ac:dyDescent="0.3">
      <c r="A2">
        <v>1001</v>
      </c>
      <c r="B2" t="s">
        <v>8</v>
      </c>
      <c r="C2" t="s">
        <v>9</v>
      </c>
      <c r="D2" t="s">
        <v>10</v>
      </c>
      <c r="E2" t="s">
        <v>11</v>
      </c>
      <c r="F2" t="s">
        <v>12</v>
      </c>
      <c r="G2">
        <v>3</v>
      </c>
      <c r="H2">
        <v>24676</v>
      </c>
      <c r="I2">
        <f>H2*G2</f>
        <v>74028</v>
      </c>
      <c r="J2" t="str">
        <f>IF(I2&gt;100000,"High","Normal")</f>
        <v>Normal</v>
      </c>
      <c r="K2" t="str" cm="1">
        <f t="array" ref="K2:K301">TEXT($B$2:$B$301,"YYYY-mm")</f>
        <v>2024-01</v>
      </c>
      <c r="L2" t="str" cm="1">
        <f t="array" ref="L2:L301">TEXT($B$2:$B$301,"MMMM")</f>
        <v>January</v>
      </c>
      <c r="T2" s="4" t="s">
        <v>179</v>
      </c>
    </row>
    <row r="3" spans="1:21" x14ac:dyDescent="0.25">
      <c r="A3">
        <v>1002</v>
      </c>
      <c r="B3" t="s">
        <v>13</v>
      </c>
      <c r="C3" t="s">
        <v>14</v>
      </c>
      <c r="D3" t="s">
        <v>15</v>
      </c>
      <c r="E3" t="s">
        <v>16</v>
      </c>
      <c r="F3" t="s">
        <v>17</v>
      </c>
      <c r="G3">
        <v>2</v>
      </c>
      <c r="H3">
        <v>13955</v>
      </c>
      <c r="I3">
        <f t="shared" ref="I3:I66" si="0">H3*G3</f>
        <v>27910</v>
      </c>
      <c r="J3" t="str">
        <f t="shared" ref="J3:J66" si="1">IF(I3&gt;100000,"High","Normal")</f>
        <v>Normal</v>
      </c>
      <c r="K3" t="str">
        <v>2024-04</v>
      </c>
      <c r="L3" t="str">
        <v>April</v>
      </c>
      <c r="S3" s="2"/>
    </row>
    <row r="4" spans="1:21" x14ac:dyDescent="0.25">
      <c r="A4">
        <v>1003</v>
      </c>
      <c r="B4" t="s">
        <v>18</v>
      </c>
      <c r="C4" t="s">
        <v>19</v>
      </c>
      <c r="D4" t="s">
        <v>10</v>
      </c>
      <c r="E4" t="s">
        <v>20</v>
      </c>
      <c r="F4" t="s">
        <v>17</v>
      </c>
      <c r="G4">
        <v>8</v>
      </c>
      <c r="H4">
        <v>49847</v>
      </c>
      <c r="I4">
        <f t="shared" si="0"/>
        <v>398776</v>
      </c>
      <c r="J4" t="str">
        <f t="shared" si="1"/>
        <v>High</v>
      </c>
      <c r="K4" t="str">
        <v>2024-02</v>
      </c>
      <c r="L4" t="str">
        <v>February</v>
      </c>
      <c r="T4" s="3" t="s">
        <v>180</v>
      </c>
    </row>
    <row r="5" spans="1:21" x14ac:dyDescent="0.25">
      <c r="A5">
        <v>1004</v>
      </c>
      <c r="B5" t="s">
        <v>21</v>
      </c>
      <c r="C5" t="s">
        <v>9</v>
      </c>
      <c r="D5" t="s">
        <v>10</v>
      </c>
      <c r="E5" t="s">
        <v>16</v>
      </c>
      <c r="F5" t="s">
        <v>17</v>
      </c>
      <c r="G5">
        <v>1</v>
      </c>
      <c r="H5">
        <v>15273</v>
      </c>
      <c r="I5">
        <f t="shared" si="0"/>
        <v>15273</v>
      </c>
      <c r="J5" t="str">
        <f t="shared" si="1"/>
        <v>Normal</v>
      </c>
      <c r="K5" t="str">
        <v>2024-04</v>
      </c>
      <c r="L5" t="str">
        <v>April</v>
      </c>
      <c r="T5" t="s">
        <v>213</v>
      </c>
      <c r="U5" t="s">
        <v>214</v>
      </c>
    </row>
    <row r="6" spans="1:21" x14ac:dyDescent="0.25">
      <c r="A6">
        <v>1005</v>
      </c>
      <c r="B6" t="s">
        <v>22</v>
      </c>
      <c r="C6" t="s">
        <v>14</v>
      </c>
      <c r="D6" t="s">
        <v>15</v>
      </c>
      <c r="E6" t="s">
        <v>23</v>
      </c>
      <c r="F6" t="s">
        <v>17</v>
      </c>
      <c r="G6">
        <v>10</v>
      </c>
      <c r="H6">
        <v>30244</v>
      </c>
      <c r="I6">
        <f t="shared" si="0"/>
        <v>302440</v>
      </c>
      <c r="J6" t="str">
        <f t="shared" si="1"/>
        <v>High</v>
      </c>
      <c r="K6" t="str">
        <v>2024-02</v>
      </c>
      <c r="L6" t="str">
        <v>February</v>
      </c>
    </row>
    <row r="7" spans="1:21" x14ac:dyDescent="0.25">
      <c r="A7">
        <v>1006</v>
      </c>
      <c r="B7" t="s">
        <v>24</v>
      </c>
      <c r="C7" t="s">
        <v>14</v>
      </c>
      <c r="D7" t="s">
        <v>15</v>
      </c>
      <c r="E7" t="s">
        <v>25</v>
      </c>
      <c r="F7" t="s">
        <v>17</v>
      </c>
      <c r="G7">
        <v>7</v>
      </c>
      <c r="H7">
        <v>19477</v>
      </c>
      <c r="I7">
        <f t="shared" si="0"/>
        <v>136339</v>
      </c>
      <c r="J7" t="str">
        <f t="shared" si="1"/>
        <v>High</v>
      </c>
      <c r="K7" t="str">
        <v>2024-03</v>
      </c>
      <c r="L7" t="str">
        <v>March</v>
      </c>
      <c r="T7" s="3" t="s">
        <v>181</v>
      </c>
    </row>
    <row r="8" spans="1:21" x14ac:dyDescent="0.25">
      <c r="A8">
        <v>1007</v>
      </c>
      <c r="B8" t="s">
        <v>26</v>
      </c>
      <c r="C8" t="s">
        <v>27</v>
      </c>
      <c r="D8" t="s">
        <v>15</v>
      </c>
      <c r="E8" t="s">
        <v>20</v>
      </c>
      <c r="F8" t="s">
        <v>17</v>
      </c>
      <c r="G8">
        <v>6</v>
      </c>
      <c r="H8">
        <v>52724</v>
      </c>
      <c r="I8">
        <f t="shared" si="0"/>
        <v>316344</v>
      </c>
      <c r="J8" t="str">
        <f t="shared" si="1"/>
        <v>High</v>
      </c>
      <c r="K8" t="str">
        <v>2024-06</v>
      </c>
      <c r="L8" t="str">
        <v>June</v>
      </c>
      <c r="T8" t="s">
        <v>215</v>
      </c>
      <c r="U8" s="19">
        <f>SUM(I2:I301)</f>
        <v>35813280</v>
      </c>
    </row>
    <row r="9" spans="1:21" x14ac:dyDescent="0.25">
      <c r="A9">
        <v>1008</v>
      </c>
      <c r="B9" t="s">
        <v>28</v>
      </c>
      <c r="C9" t="s">
        <v>14</v>
      </c>
      <c r="D9" t="s">
        <v>29</v>
      </c>
      <c r="E9" t="s">
        <v>16</v>
      </c>
      <c r="F9" t="s">
        <v>17</v>
      </c>
      <c r="G9">
        <v>4</v>
      </c>
      <c r="H9">
        <v>14475</v>
      </c>
      <c r="I9">
        <f t="shared" si="0"/>
        <v>57900</v>
      </c>
      <c r="J9" t="str">
        <f t="shared" si="1"/>
        <v>Normal</v>
      </c>
      <c r="K9" t="str">
        <v>2024-01</v>
      </c>
      <c r="L9" t="str">
        <v>January</v>
      </c>
    </row>
    <row r="10" spans="1:21" x14ac:dyDescent="0.25">
      <c r="A10">
        <v>1009</v>
      </c>
      <c r="B10" t="s">
        <v>30</v>
      </c>
      <c r="C10" t="s">
        <v>9</v>
      </c>
      <c r="D10" t="s">
        <v>31</v>
      </c>
      <c r="E10" t="s">
        <v>32</v>
      </c>
      <c r="F10" t="s">
        <v>12</v>
      </c>
      <c r="G10">
        <v>8</v>
      </c>
      <c r="H10">
        <v>1939</v>
      </c>
      <c r="I10">
        <f t="shared" si="0"/>
        <v>15512</v>
      </c>
      <c r="J10" t="str">
        <f t="shared" si="1"/>
        <v>Normal</v>
      </c>
      <c r="K10" t="str">
        <v>2024-05</v>
      </c>
      <c r="L10" t="str">
        <v>May</v>
      </c>
      <c r="T10" s="3" t="s">
        <v>182</v>
      </c>
    </row>
    <row r="11" spans="1:21" x14ac:dyDescent="0.25">
      <c r="A11">
        <v>1010</v>
      </c>
      <c r="B11" t="s">
        <v>33</v>
      </c>
      <c r="C11" t="s">
        <v>9</v>
      </c>
      <c r="D11" t="s">
        <v>29</v>
      </c>
      <c r="E11" t="s">
        <v>20</v>
      </c>
      <c r="F11" t="s">
        <v>17</v>
      </c>
      <c r="G11">
        <v>8</v>
      </c>
      <c r="H11">
        <v>50499</v>
      </c>
      <c r="I11">
        <f t="shared" si="0"/>
        <v>403992</v>
      </c>
      <c r="J11" t="str">
        <f t="shared" si="1"/>
        <v>High</v>
      </c>
      <c r="K11" t="str">
        <v>2024-06</v>
      </c>
      <c r="L11" t="str">
        <v>June</v>
      </c>
      <c r="T11" t="s">
        <v>216</v>
      </c>
      <c r="U11" s="18">
        <f>AVERAGE(H2:H301)</f>
        <v>22158.04</v>
      </c>
    </row>
    <row r="12" spans="1:21" x14ac:dyDescent="0.25">
      <c r="A12">
        <v>1011</v>
      </c>
      <c r="B12" t="s">
        <v>34</v>
      </c>
      <c r="C12" t="s">
        <v>19</v>
      </c>
      <c r="D12" t="s">
        <v>29</v>
      </c>
      <c r="E12" t="s">
        <v>35</v>
      </c>
      <c r="F12" t="s">
        <v>12</v>
      </c>
      <c r="G12">
        <v>2</v>
      </c>
      <c r="H12">
        <v>8542</v>
      </c>
      <c r="I12">
        <f t="shared" si="0"/>
        <v>17084</v>
      </c>
      <c r="J12" t="str">
        <f t="shared" si="1"/>
        <v>Normal</v>
      </c>
      <c r="K12" t="str">
        <v>2024-02</v>
      </c>
      <c r="L12" t="str">
        <v>February</v>
      </c>
    </row>
    <row r="13" spans="1:21" x14ac:dyDescent="0.25">
      <c r="A13">
        <v>1012</v>
      </c>
      <c r="B13" t="s">
        <v>36</v>
      </c>
      <c r="C13" t="s">
        <v>27</v>
      </c>
      <c r="D13" t="s">
        <v>29</v>
      </c>
      <c r="E13" t="s">
        <v>20</v>
      </c>
      <c r="F13" t="s">
        <v>17</v>
      </c>
      <c r="G13">
        <v>8</v>
      </c>
      <c r="H13">
        <v>48393</v>
      </c>
      <c r="I13">
        <f t="shared" si="0"/>
        <v>387144</v>
      </c>
      <c r="J13" t="str">
        <f t="shared" si="1"/>
        <v>High</v>
      </c>
      <c r="K13" t="str">
        <v>2024-03</v>
      </c>
      <c r="L13" t="str">
        <v>March</v>
      </c>
      <c r="T13" s="3" t="s">
        <v>183</v>
      </c>
    </row>
    <row r="14" spans="1:21" x14ac:dyDescent="0.25">
      <c r="A14">
        <v>1013</v>
      </c>
      <c r="B14" t="s">
        <v>37</v>
      </c>
      <c r="C14" t="s">
        <v>19</v>
      </c>
      <c r="D14" t="s">
        <v>29</v>
      </c>
      <c r="E14" t="s">
        <v>32</v>
      </c>
      <c r="F14" t="s">
        <v>12</v>
      </c>
      <c r="G14">
        <v>6</v>
      </c>
      <c r="H14">
        <v>564</v>
      </c>
      <c r="I14">
        <f t="shared" si="0"/>
        <v>3384</v>
      </c>
      <c r="J14" t="str">
        <f t="shared" si="1"/>
        <v>Normal</v>
      </c>
      <c r="K14" t="str">
        <v>2024-04</v>
      </c>
      <c r="L14" t="str">
        <v>April</v>
      </c>
      <c r="T14" t="s">
        <v>217</v>
      </c>
      <c r="U14">
        <f>COUNT(A2:A301)</f>
        <v>300</v>
      </c>
    </row>
    <row r="15" spans="1:21" x14ac:dyDescent="0.25">
      <c r="A15">
        <v>1014</v>
      </c>
      <c r="B15" t="s">
        <v>38</v>
      </c>
      <c r="C15" t="s">
        <v>19</v>
      </c>
      <c r="D15" t="s">
        <v>15</v>
      </c>
      <c r="E15" t="s">
        <v>20</v>
      </c>
      <c r="F15" t="s">
        <v>17</v>
      </c>
      <c r="G15">
        <v>5</v>
      </c>
      <c r="H15">
        <v>49096</v>
      </c>
      <c r="I15">
        <f t="shared" si="0"/>
        <v>245480</v>
      </c>
      <c r="J15" t="str">
        <f t="shared" si="1"/>
        <v>High</v>
      </c>
      <c r="K15" t="str">
        <v>2024-05</v>
      </c>
      <c r="L15" t="str">
        <v>May</v>
      </c>
    </row>
    <row r="16" spans="1:21" x14ac:dyDescent="0.25">
      <c r="A16">
        <v>1015</v>
      </c>
      <c r="B16" t="s">
        <v>39</v>
      </c>
      <c r="C16" t="s">
        <v>14</v>
      </c>
      <c r="D16" t="s">
        <v>10</v>
      </c>
      <c r="E16" t="s">
        <v>23</v>
      </c>
      <c r="F16" t="s">
        <v>17</v>
      </c>
      <c r="G16">
        <v>3</v>
      </c>
      <c r="H16">
        <v>28982</v>
      </c>
      <c r="I16">
        <f t="shared" si="0"/>
        <v>86946</v>
      </c>
      <c r="J16" t="str">
        <f t="shared" si="1"/>
        <v>Normal</v>
      </c>
      <c r="K16" t="str">
        <v>2024-06</v>
      </c>
      <c r="L16" t="str">
        <v>June</v>
      </c>
      <c r="T16" s="3" t="s">
        <v>184</v>
      </c>
    </row>
    <row r="17" spans="1:21" x14ac:dyDescent="0.25">
      <c r="A17">
        <v>1016</v>
      </c>
      <c r="B17" t="s">
        <v>40</v>
      </c>
      <c r="C17" t="s">
        <v>27</v>
      </c>
      <c r="D17" t="s">
        <v>15</v>
      </c>
      <c r="E17" t="s">
        <v>35</v>
      </c>
      <c r="F17" t="s">
        <v>12</v>
      </c>
      <c r="G17">
        <v>1</v>
      </c>
      <c r="H17">
        <v>9347</v>
      </c>
      <c r="I17">
        <f t="shared" si="0"/>
        <v>9347</v>
      </c>
      <c r="J17" t="str">
        <f t="shared" si="1"/>
        <v>Normal</v>
      </c>
      <c r="K17" t="str">
        <v>2024-03</v>
      </c>
      <c r="L17" t="str">
        <v>March</v>
      </c>
      <c r="T17" t="s">
        <v>218</v>
      </c>
      <c r="U17">
        <f>MAX(H2:H301)</f>
        <v>52952</v>
      </c>
    </row>
    <row r="18" spans="1:21" x14ac:dyDescent="0.25">
      <c r="A18">
        <v>1017</v>
      </c>
      <c r="B18" t="s">
        <v>41</v>
      </c>
      <c r="C18" t="s">
        <v>14</v>
      </c>
      <c r="D18" t="s">
        <v>42</v>
      </c>
      <c r="E18" t="s">
        <v>11</v>
      </c>
      <c r="F18" t="s">
        <v>12</v>
      </c>
      <c r="G18">
        <v>7</v>
      </c>
      <c r="H18">
        <v>27308</v>
      </c>
      <c r="I18">
        <f t="shared" si="0"/>
        <v>191156</v>
      </c>
      <c r="J18" t="str">
        <f t="shared" si="1"/>
        <v>High</v>
      </c>
      <c r="K18" t="str">
        <v>2024-05</v>
      </c>
      <c r="L18" t="str">
        <v>May</v>
      </c>
      <c r="T18" t="s">
        <v>219</v>
      </c>
      <c r="U18">
        <f>MIN(H2:H301)</f>
        <v>143</v>
      </c>
    </row>
    <row r="19" spans="1:21" x14ac:dyDescent="0.25">
      <c r="A19">
        <v>1018</v>
      </c>
      <c r="B19" t="s">
        <v>43</v>
      </c>
      <c r="C19" t="s">
        <v>14</v>
      </c>
      <c r="D19" t="s">
        <v>10</v>
      </c>
      <c r="E19" t="s">
        <v>11</v>
      </c>
      <c r="F19" t="s">
        <v>12</v>
      </c>
      <c r="G19">
        <v>3</v>
      </c>
      <c r="H19">
        <v>24432</v>
      </c>
      <c r="I19">
        <f t="shared" si="0"/>
        <v>73296</v>
      </c>
      <c r="J19" t="str">
        <f t="shared" si="1"/>
        <v>Normal</v>
      </c>
      <c r="K19" t="str">
        <v>2024-05</v>
      </c>
      <c r="L19" t="str">
        <v>May</v>
      </c>
    </row>
    <row r="20" spans="1:21" x14ac:dyDescent="0.25">
      <c r="A20">
        <v>1019</v>
      </c>
      <c r="B20" t="s">
        <v>44</v>
      </c>
      <c r="C20" t="s">
        <v>9</v>
      </c>
      <c r="D20" t="s">
        <v>29</v>
      </c>
      <c r="E20" t="s">
        <v>25</v>
      </c>
      <c r="F20" t="s">
        <v>17</v>
      </c>
      <c r="G20">
        <v>1</v>
      </c>
      <c r="H20">
        <v>18393</v>
      </c>
      <c r="I20">
        <f t="shared" si="0"/>
        <v>18393</v>
      </c>
      <c r="J20" t="str">
        <f t="shared" si="1"/>
        <v>Normal</v>
      </c>
      <c r="K20" t="str">
        <v>2024-01</v>
      </c>
      <c r="L20" t="str">
        <v>January</v>
      </c>
      <c r="T20" s="3" t="s">
        <v>185</v>
      </c>
    </row>
    <row r="21" spans="1:21" x14ac:dyDescent="0.25">
      <c r="A21">
        <v>1020</v>
      </c>
      <c r="B21" t="s">
        <v>45</v>
      </c>
      <c r="C21" t="s">
        <v>14</v>
      </c>
      <c r="D21" t="s">
        <v>42</v>
      </c>
      <c r="E21" t="s">
        <v>25</v>
      </c>
      <c r="F21" t="s">
        <v>17</v>
      </c>
      <c r="G21">
        <v>1</v>
      </c>
      <c r="H21">
        <v>18574</v>
      </c>
      <c r="I21">
        <f t="shared" si="0"/>
        <v>18574</v>
      </c>
      <c r="J21" t="str">
        <f t="shared" si="1"/>
        <v>Normal</v>
      </c>
      <c r="K21" t="str">
        <v>2024-01</v>
      </c>
      <c r="L21" t="str">
        <v>January</v>
      </c>
    </row>
    <row r="22" spans="1:21" ht="18.75" x14ac:dyDescent="0.3">
      <c r="A22">
        <v>1021</v>
      </c>
      <c r="B22" t="s">
        <v>46</v>
      </c>
      <c r="C22" t="s">
        <v>9</v>
      </c>
      <c r="D22" t="s">
        <v>31</v>
      </c>
      <c r="E22" t="s">
        <v>35</v>
      </c>
      <c r="F22" t="s">
        <v>12</v>
      </c>
      <c r="G22">
        <v>9</v>
      </c>
      <c r="H22">
        <v>7786</v>
      </c>
      <c r="I22">
        <f t="shared" si="0"/>
        <v>70074</v>
      </c>
      <c r="J22" t="str">
        <f t="shared" si="1"/>
        <v>Normal</v>
      </c>
      <c r="K22" t="str">
        <v>2024-04</v>
      </c>
      <c r="L22" t="str">
        <v>April</v>
      </c>
      <c r="T22" s="4" t="s">
        <v>186</v>
      </c>
    </row>
    <row r="23" spans="1:21" x14ac:dyDescent="0.25">
      <c r="A23">
        <v>1022</v>
      </c>
      <c r="B23" t="s">
        <v>47</v>
      </c>
      <c r="C23" t="s">
        <v>19</v>
      </c>
      <c r="D23" t="s">
        <v>31</v>
      </c>
      <c r="E23" t="s">
        <v>11</v>
      </c>
      <c r="F23" t="s">
        <v>12</v>
      </c>
      <c r="G23">
        <v>7</v>
      </c>
      <c r="H23">
        <v>24826</v>
      </c>
      <c r="I23">
        <f t="shared" si="0"/>
        <v>173782</v>
      </c>
      <c r="J23" t="str">
        <f t="shared" si="1"/>
        <v>High</v>
      </c>
      <c r="K23" t="str">
        <v>2024-03</v>
      </c>
      <c r="L23" t="str">
        <v>March</v>
      </c>
    </row>
    <row r="24" spans="1:21" x14ac:dyDescent="0.25">
      <c r="A24">
        <v>1023</v>
      </c>
      <c r="B24" t="s">
        <v>41</v>
      </c>
      <c r="C24" t="s">
        <v>27</v>
      </c>
      <c r="D24" t="s">
        <v>10</v>
      </c>
      <c r="E24" t="s">
        <v>11</v>
      </c>
      <c r="F24" t="s">
        <v>12</v>
      </c>
      <c r="G24">
        <v>9</v>
      </c>
      <c r="H24">
        <v>27718</v>
      </c>
      <c r="I24">
        <f t="shared" si="0"/>
        <v>249462</v>
      </c>
      <c r="J24" t="str">
        <f t="shared" si="1"/>
        <v>High</v>
      </c>
      <c r="K24" t="str">
        <v>2024-05</v>
      </c>
      <c r="L24" t="str">
        <v>May</v>
      </c>
      <c r="T24" s="3" t="s">
        <v>187</v>
      </c>
    </row>
    <row r="25" spans="1:21" x14ac:dyDescent="0.25">
      <c r="A25">
        <v>1024</v>
      </c>
      <c r="B25" t="s">
        <v>48</v>
      </c>
      <c r="C25" t="s">
        <v>14</v>
      </c>
      <c r="D25" t="s">
        <v>49</v>
      </c>
      <c r="E25" t="s">
        <v>20</v>
      </c>
      <c r="F25" t="s">
        <v>17</v>
      </c>
      <c r="G25">
        <v>10</v>
      </c>
      <c r="H25">
        <v>52258</v>
      </c>
      <c r="I25">
        <f t="shared" si="0"/>
        <v>522580</v>
      </c>
      <c r="J25" t="str">
        <f t="shared" si="1"/>
        <v>High</v>
      </c>
      <c r="K25" t="str">
        <v>2024-04</v>
      </c>
      <c r="L25" t="str">
        <v>April</v>
      </c>
    </row>
    <row r="26" spans="1:21" x14ac:dyDescent="0.25">
      <c r="A26">
        <v>1025</v>
      </c>
      <c r="B26" t="s">
        <v>50</v>
      </c>
      <c r="C26" t="s">
        <v>19</v>
      </c>
      <c r="D26" t="s">
        <v>42</v>
      </c>
      <c r="E26" t="s">
        <v>20</v>
      </c>
      <c r="F26" t="s">
        <v>17</v>
      </c>
      <c r="G26">
        <v>2</v>
      </c>
      <c r="H26">
        <v>52428</v>
      </c>
      <c r="I26">
        <f t="shared" si="0"/>
        <v>104856</v>
      </c>
      <c r="J26" t="str">
        <f t="shared" si="1"/>
        <v>High</v>
      </c>
      <c r="K26" t="str">
        <v>2024-06</v>
      </c>
      <c r="L26" t="str">
        <v>June</v>
      </c>
      <c r="T26" s="3" t="s">
        <v>222</v>
      </c>
    </row>
    <row r="27" spans="1:21" x14ac:dyDescent="0.25">
      <c r="A27">
        <v>1026</v>
      </c>
      <c r="B27" t="s">
        <v>51</v>
      </c>
      <c r="C27" t="s">
        <v>19</v>
      </c>
      <c r="D27" t="s">
        <v>10</v>
      </c>
      <c r="E27" t="s">
        <v>25</v>
      </c>
      <c r="F27" t="s">
        <v>17</v>
      </c>
      <c r="G27">
        <v>5</v>
      </c>
      <c r="H27">
        <v>22355</v>
      </c>
      <c r="I27">
        <f t="shared" si="0"/>
        <v>111775</v>
      </c>
      <c r="J27" t="str">
        <f t="shared" si="1"/>
        <v>High</v>
      </c>
      <c r="K27" t="str">
        <v>2024-01</v>
      </c>
      <c r="L27" t="str">
        <v>January</v>
      </c>
    </row>
    <row r="28" spans="1:21" x14ac:dyDescent="0.25">
      <c r="A28">
        <v>1027</v>
      </c>
      <c r="B28" t="s">
        <v>52</v>
      </c>
      <c r="C28" t="s">
        <v>19</v>
      </c>
      <c r="D28" t="s">
        <v>10</v>
      </c>
      <c r="E28" t="s">
        <v>23</v>
      </c>
      <c r="F28" t="s">
        <v>17</v>
      </c>
      <c r="G28">
        <v>8</v>
      </c>
      <c r="H28">
        <v>28350</v>
      </c>
      <c r="I28">
        <f t="shared" si="0"/>
        <v>226800</v>
      </c>
      <c r="J28" t="str">
        <f t="shared" si="1"/>
        <v>High</v>
      </c>
      <c r="K28" t="str">
        <v>2024-02</v>
      </c>
      <c r="L28" t="str">
        <v>February</v>
      </c>
      <c r="T28" t="str" cm="1">
        <f t="array" ref="T28:T31">_xlfn.UNIQUE(C2:C301)</f>
        <v>South</v>
      </c>
      <c r="U28" s="19" cm="1">
        <f t="array" ref="U28:U31">SUMIF($C$2:$C$301,$T$28:$T$31,$I$2:$I$301)</f>
        <v>8790984</v>
      </c>
    </row>
    <row r="29" spans="1:21" x14ac:dyDescent="0.25">
      <c r="A29">
        <v>1028</v>
      </c>
      <c r="B29" t="s">
        <v>18</v>
      </c>
      <c r="C29" t="s">
        <v>14</v>
      </c>
      <c r="D29" t="s">
        <v>42</v>
      </c>
      <c r="E29" t="s">
        <v>35</v>
      </c>
      <c r="F29" t="s">
        <v>12</v>
      </c>
      <c r="G29">
        <v>9</v>
      </c>
      <c r="H29">
        <v>9306</v>
      </c>
      <c r="I29">
        <f t="shared" si="0"/>
        <v>83754</v>
      </c>
      <c r="J29" t="str">
        <f t="shared" si="1"/>
        <v>Normal</v>
      </c>
      <c r="K29" t="str">
        <v>2024-02</v>
      </c>
      <c r="L29" t="str">
        <v>February</v>
      </c>
      <c r="T29" t="str">
        <v>East</v>
      </c>
      <c r="U29" s="19">
        <v>10044810</v>
      </c>
    </row>
    <row r="30" spans="1:21" x14ac:dyDescent="0.25">
      <c r="A30">
        <v>1029</v>
      </c>
      <c r="B30" t="s">
        <v>53</v>
      </c>
      <c r="C30" t="s">
        <v>9</v>
      </c>
      <c r="D30" t="s">
        <v>29</v>
      </c>
      <c r="E30" t="s">
        <v>16</v>
      </c>
      <c r="F30" t="s">
        <v>17</v>
      </c>
      <c r="G30">
        <v>10</v>
      </c>
      <c r="H30">
        <v>13512</v>
      </c>
      <c r="I30">
        <f t="shared" si="0"/>
        <v>135120</v>
      </c>
      <c r="J30" t="str">
        <f t="shared" si="1"/>
        <v>High</v>
      </c>
      <c r="K30" t="str">
        <v>2024-06</v>
      </c>
      <c r="L30" t="str">
        <v>June</v>
      </c>
      <c r="T30" t="str">
        <v>North</v>
      </c>
      <c r="U30" s="19">
        <v>8259590</v>
      </c>
    </row>
    <row r="31" spans="1:21" x14ac:dyDescent="0.25">
      <c r="A31">
        <v>1030</v>
      </c>
      <c r="B31" t="s">
        <v>54</v>
      </c>
      <c r="C31" t="s">
        <v>14</v>
      </c>
      <c r="D31" t="s">
        <v>15</v>
      </c>
      <c r="E31" t="s">
        <v>16</v>
      </c>
      <c r="F31" t="s">
        <v>17</v>
      </c>
      <c r="G31">
        <v>9</v>
      </c>
      <c r="H31">
        <v>14098</v>
      </c>
      <c r="I31">
        <f t="shared" si="0"/>
        <v>126882</v>
      </c>
      <c r="J31" t="str">
        <f t="shared" si="1"/>
        <v>High</v>
      </c>
      <c r="K31" t="str">
        <v>2024-04</v>
      </c>
      <c r="L31" t="str">
        <v>April</v>
      </c>
      <c r="T31" t="str">
        <v>West</v>
      </c>
      <c r="U31" s="19">
        <v>8717896</v>
      </c>
    </row>
    <row r="32" spans="1:21" x14ac:dyDescent="0.25">
      <c r="A32">
        <v>1031</v>
      </c>
      <c r="B32" t="s">
        <v>8</v>
      </c>
      <c r="C32" t="s">
        <v>27</v>
      </c>
      <c r="D32" t="s">
        <v>10</v>
      </c>
      <c r="E32" t="s">
        <v>35</v>
      </c>
      <c r="F32" t="s">
        <v>12</v>
      </c>
      <c r="G32">
        <v>5</v>
      </c>
      <c r="H32">
        <v>6938</v>
      </c>
      <c r="I32">
        <f t="shared" si="0"/>
        <v>34690</v>
      </c>
      <c r="J32" t="str">
        <f t="shared" si="1"/>
        <v>Normal</v>
      </c>
      <c r="K32" t="str">
        <v>2024-01</v>
      </c>
      <c r="L32" t="str">
        <v>January</v>
      </c>
    </row>
    <row r="33" spans="1:21" x14ac:dyDescent="0.25">
      <c r="A33">
        <v>1032</v>
      </c>
      <c r="B33" t="s">
        <v>55</v>
      </c>
      <c r="C33" t="s">
        <v>9</v>
      </c>
      <c r="D33" t="s">
        <v>10</v>
      </c>
      <c r="E33" t="s">
        <v>35</v>
      </c>
      <c r="F33" t="s">
        <v>12</v>
      </c>
      <c r="G33">
        <v>2</v>
      </c>
      <c r="H33">
        <v>8112</v>
      </c>
      <c r="I33">
        <f t="shared" si="0"/>
        <v>16224</v>
      </c>
      <c r="J33" t="str">
        <f t="shared" si="1"/>
        <v>Normal</v>
      </c>
      <c r="K33" t="str">
        <v>2024-02</v>
      </c>
      <c r="L33" t="str">
        <v>February</v>
      </c>
      <c r="T33" s="3" t="s">
        <v>189</v>
      </c>
    </row>
    <row r="34" spans="1:21" x14ac:dyDescent="0.25">
      <c r="A34">
        <v>1033</v>
      </c>
      <c r="B34" t="s">
        <v>56</v>
      </c>
      <c r="C34" t="s">
        <v>9</v>
      </c>
      <c r="D34" t="s">
        <v>15</v>
      </c>
      <c r="E34" t="s">
        <v>20</v>
      </c>
      <c r="F34" t="s">
        <v>17</v>
      </c>
      <c r="G34">
        <v>8</v>
      </c>
      <c r="H34">
        <v>49994</v>
      </c>
      <c r="I34">
        <f t="shared" si="0"/>
        <v>399952</v>
      </c>
      <c r="J34" t="str">
        <f t="shared" si="1"/>
        <v>High</v>
      </c>
      <c r="K34" t="str">
        <v>2024-01</v>
      </c>
      <c r="L34" t="str">
        <v>January</v>
      </c>
      <c r="T34" t="str" cm="1">
        <f t="array" ref="T34:T35">_xlfn.UNIQUE(F2:F301)</f>
        <v>Furniture</v>
      </c>
      <c r="U34" cm="1">
        <f t="array" ref="U34:U35">SUMIF($F$2:$F$301,$T$34:$T$35,$I$2:$I$301)</f>
        <v>7916644</v>
      </c>
    </row>
    <row r="35" spans="1:21" x14ac:dyDescent="0.25">
      <c r="A35">
        <v>1034</v>
      </c>
      <c r="B35" t="s">
        <v>57</v>
      </c>
      <c r="C35" t="s">
        <v>14</v>
      </c>
      <c r="D35" t="s">
        <v>15</v>
      </c>
      <c r="E35" t="s">
        <v>20</v>
      </c>
      <c r="F35" t="s">
        <v>17</v>
      </c>
      <c r="G35">
        <v>3</v>
      </c>
      <c r="H35">
        <v>50084</v>
      </c>
      <c r="I35">
        <f t="shared" si="0"/>
        <v>150252</v>
      </c>
      <c r="J35" t="str">
        <f t="shared" si="1"/>
        <v>High</v>
      </c>
      <c r="K35" t="str">
        <v>2024-03</v>
      </c>
      <c r="L35" t="str">
        <v>March</v>
      </c>
      <c r="T35" t="str">
        <v>Electronics</v>
      </c>
      <c r="U35">
        <v>27896636</v>
      </c>
    </row>
    <row r="36" spans="1:21" x14ac:dyDescent="0.25">
      <c r="A36">
        <v>1035</v>
      </c>
      <c r="B36" t="s">
        <v>58</v>
      </c>
      <c r="C36" t="s">
        <v>27</v>
      </c>
      <c r="D36" t="s">
        <v>31</v>
      </c>
      <c r="E36" t="s">
        <v>25</v>
      </c>
      <c r="F36" t="s">
        <v>17</v>
      </c>
      <c r="G36">
        <v>8</v>
      </c>
      <c r="H36">
        <v>18531</v>
      </c>
      <c r="I36">
        <f t="shared" si="0"/>
        <v>148248</v>
      </c>
      <c r="J36" t="str">
        <f t="shared" si="1"/>
        <v>High</v>
      </c>
      <c r="K36" t="str">
        <v>2024-02</v>
      </c>
      <c r="L36" t="str">
        <v>February</v>
      </c>
    </row>
    <row r="37" spans="1:21" x14ac:dyDescent="0.25">
      <c r="A37">
        <v>1036</v>
      </c>
      <c r="B37" t="s">
        <v>59</v>
      </c>
      <c r="C37" t="s">
        <v>27</v>
      </c>
      <c r="D37" t="s">
        <v>15</v>
      </c>
      <c r="E37" t="s">
        <v>32</v>
      </c>
      <c r="F37" t="s">
        <v>12</v>
      </c>
      <c r="G37">
        <v>9</v>
      </c>
      <c r="H37">
        <v>1820</v>
      </c>
      <c r="I37">
        <f t="shared" si="0"/>
        <v>16380</v>
      </c>
      <c r="J37" t="str">
        <f t="shared" si="1"/>
        <v>Normal</v>
      </c>
      <c r="K37" t="str">
        <v>2024-03</v>
      </c>
      <c r="L37" t="str">
        <v>March</v>
      </c>
      <c r="T37" s="3" t="s">
        <v>221</v>
      </c>
    </row>
    <row r="38" spans="1:21" x14ac:dyDescent="0.25">
      <c r="A38">
        <v>1037</v>
      </c>
      <c r="B38" t="s">
        <v>60</v>
      </c>
      <c r="C38" t="s">
        <v>9</v>
      </c>
      <c r="D38" t="s">
        <v>15</v>
      </c>
      <c r="E38" t="s">
        <v>16</v>
      </c>
      <c r="F38" t="s">
        <v>17</v>
      </c>
      <c r="G38">
        <v>6</v>
      </c>
      <c r="H38">
        <v>17688</v>
      </c>
      <c r="I38">
        <f t="shared" si="0"/>
        <v>106128</v>
      </c>
      <c r="J38" t="str">
        <f t="shared" si="1"/>
        <v>High</v>
      </c>
      <c r="K38" t="str">
        <v>2024-04</v>
      </c>
      <c r="L38" t="str">
        <v>April</v>
      </c>
      <c r="T38" t="str" cm="1">
        <f t="array" ref="T38:T43">_xlfn.UNIQUE($D$2:$D$301)</f>
        <v>Priya</v>
      </c>
      <c r="U38" s="19" cm="1">
        <f t="array" ref="U38:U43">SUMIF($D$2:$D$301,$T$38:$T$43,$I$2:$I$301)</f>
        <v>7179924</v>
      </c>
    </row>
    <row r="39" spans="1:21" x14ac:dyDescent="0.25">
      <c r="A39">
        <v>1038</v>
      </c>
      <c r="B39" t="s">
        <v>61</v>
      </c>
      <c r="C39" t="s">
        <v>19</v>
      </c>
      <c r="D39" t="s">
        <v>15</v>
      </c>
      <c r="E39" t="s">
        <v>23</v>
      </c>
      <c r="F39" t="s">
        <v>17</v>
      </c>
      <c r="G39">
        <v>10</v>
      </c>
      <c r="H39">
        <v>30984</v>
      </c>
      <c r="I39">
        <f t="shared" si="0"/>
        <v>309840</v>
      </c>
      <c r="J39" t="str">
        <f t="shared" si="1"/>
        <v>High</v>
      </c>
      <c r="K39" t="str">
        <v>2024-06</v>
      </c>
      <c r="L39" t="str">
        <v>June</v>
      </c>
      <c r="T39" t="str">
        <v>Karan</v>
      </c>
      <c r="U39" s="19">
        <v>6730035</v>
      </c>
    </row>
    <row r="40" spans="1:21" x14ac:dyDescent="0.25">
      <c r="A40">
        <v>1039</v>
      </c>
      <c r="B40" t="s">
        <v>46</v>
      </c>
      <c r="C40" t="s">
        <v>14</v>
      </c>
      <c r="D40" t="s">
        <v>31</v>
      </c>
      <c r="E40" t="s">
        <v>16</v>
      </c>
      <c r="F40" t="s">
        <v>17</v>
      </c>
      <c r="G40">
        <v>5</v>
      </c>
      <c r="H40">
        <v>14256</v>
      </c>
      <c r="I40">
        <f t="shared" si="0"/>
        <v>71280</v>
      </c>
      <c r="J40" t="str">
        <f t="shared" si="1"/>
        <v>Normal</v>
      </c>
      <c r="K40" t="str">
        <v>2024-04</v>
      </c>
      <c r="L40" t="str">
        <v>April</v>
      </c>
      <c r="T40" t="str">
        <v>Riya</v>
      </c>
      <c r="U40" s="19">
        <v>3745303</v>
      </c>
    </row>
    <row r="41" spans="1:21" x14ac:dyDescent="0.25">
      <c r="A41">
        <v>1040</v>
      </c>
      <c r="B41" t="s">
        <v>62</v>
      </c>
      <c r="C41" t="s">
        <v>14</v>
      </c>
      <c r="D41" t="s">
        <v>10</v>
      </c>
      <c r="E41" t="s">
        <v>11</v>
      </c>
      <c r="F41" t="s">
        <v>12</v>
      </c>
      <c r="G41">
        <v>7</v>
      </c>
      <c r="H41">
        <v>27289</v>
      </c>
      <c r="I41">
        <f t="shared" si="0"/>
        <v>191023</v>
      </c>
      <c r="J41" t="str">
        <f t="shared" si="1"/>
        <v>High</v>
      </c>
      <c r="K41" t="str">
        <v>2024-01</v>
      </c>
      <c r="L41" t="str">
        <v>January</v>
      </c>
      <c r="T41" t="str">
        <v>Sneha</v>
      </c>
      <c r="U41" s="19">
        <v>5893228</v>
      </c>
    </row>
    <row r="42" spans="1:21" x14ac:dyDescent="0.25">
      <c r="A42">
        <v>1041</v>
      </c>
      <c r="B42" t="s">
        <v>63</v>
      </c>
      <c r="C42" t="s">
        <v>19</v>
      </c>
      <c r="D42" t="s">
        <v>15</v>
      </c>
      <c r="E42" t="s">
        <v>11</v>
      </c>
      <c r="F42" t="s">
        <v>12</v>
      </c>
      <c r="G42">
        <v>10</v>
      </c>
      <c r="H42">
        <v>23547</v>
      </c>
      <c r="I42">
        <f t="shared" si="0"/>
        <v>235470</v>
      </c>
      <c r="J42" t="str">
        <f t="shared" si="1"/>
        <v>High</v>
      </c>
      <c r="K42" t="str">
        <v>2024-05</v>
      </c>
      <c r="L42" t="str">
        <v>May</v>
      </c>
      <c r="T42" t="str">
        <v>Rahul</v>
      </c>
      <c r="U42" s="19">
        <v>6319916</v>
      </c>
    </row>
    <row r="43" spans="1:21" x14ac:dyDescent="0.25">
      <c r="A43">
        <v>1042</v>
      </c>
      <c r="B43" t="s">
        <v>64</v>
      </c>
      <c r="C43" t="s">
        <v>19</v>
      </c>
      <c r="D43" t="s">
        <v>49</v>
      </c>
      <c r="E43" t="s">
        <v>25</v>
      </c>
      <c r="F43" t="s">
        <v>17</v>
      </c>
      <c r="G43">
        <v>5</v>
      </c>
      <c r="H43">
        <v>19412</v>
      </c>
      <c r="I43">
        <f t="shared" si="0"/>
        <v>97060</v>
      </c>
      <c r="J43" t="str">
        <f t="shared" si="1"/>
        <v>Normal</v>
      </c>
      <c r="K43" t="str">
        <v>2024-03</v>
      </c>
      <c r="L43" t="str">
        <v>March</v>
      </c>
      <c r="T43" t="str">
        <v>Amit</v>
      </c>
      <c r="U43" s="19">
        <v>5944874</v>
      </c>
    </row>
    <row r="44" spans="1:21" x14ac:dyDescent="0.25">
      <c r="A44">
        <v>1043</v>
      </c>
      <c r="B44" t="s">
        <v>36</v>
      </c>
      <c r="C44" t="s">
        <v>19</v>
      </c>
      <c r="D44" t="s">
        <v>49</v>
      </c>
      <c r="E44" t="s">
        <v>20</v>
      </c>
      <c r="F44" t="s">
        <v>17</v>
      </c>
      <c r="G44">
        <v>1</v>
      </c>
      <c r="H44">
        <v>50980</v>
      </c>
      <c r="I44">
        <f t="shared" si="0"/>
        <v>50980</v>
      </c>
      <c r="J44" t="str">
        <f t="shared" si="1"/>
        <v>Normal</v>
      </c>
      <c r="K44" t="str">
        <v>2024-03</v>
      </c>
      <c r="L44" t="str">
        <v>March</v>
      </c>
    </row>
    <row r="45" spans="1:21" x14ac:dyDescent="0.25">
      <c r="A45">
        <v>1044</v>
      </c>
      <c r="B45" t="s">
        <v>65</v>
      </c>
      <c r="C45" t="s">
        <v>14</v>
      </c>
      <c r="D45" t="s">
        <v>15</v>
      </c>
      <c r="E45" t="s">
        <v>25</v>
      </c>
      <c r="F45" t="s">
        <v>17</v>
      </c>
      <c r="G45">
        <v>8</v>
      </c>
      <c r="H45">
        <v>19990</v>
      </c>
      <c r="I45">
        <f t="shared" si="0"/>
        <v>159920</v>
      </c>
      <c r="J45" t="str">
        <f t="shared" si="1"/>
        <v>High</v>
      </c>
      <c r="K45" t="str">
        <v>2024-03</v>
      </c>
      <c r="L45" t="str">
        <v>March</v>
      </c>
      <c r="T45" s="3" t="s">
        <v>223</v>
      </c>
    </row>
    <row r="46" spans="1:21" x14ac:dyDescent="0.25">
      <c r="A46">
        <v>1045</v>
      </c>
      <c r="B46" t="s">
        <v>66</v>
      </c>
      <c r="C46" t="s">
        <v>19</v>
      </c>
      <c r="D46" t="s">
        <v>10</v>
      </c>
      <c r="E46" t="s">
        <v>23</v>
      </c>
      <c r="F46" t="s">
        <v>17</v>
      </c>
      <c r="G46">
        <v>2</v>
      </c>
      <c r="H46">
        <v>29879</v>
      </c>
      <c r="I46">
        <f t="shared" si="0"/>
        <v>59758</v>
      </c>
      <c r="J46" t="str">
        <f t="shared" si="1"/>
        <v>Normal</v>
      </c>
      <c r="K46" t="str">
        <v>2024-03</v>
      </c>
      <c r="L46" t="str">
        <v>March</v>
      </c>
      <c r="T46" t="s">
        <v>224</v>
      </c>
      <c r="U46">
        <f>COUNTIF($C$2:$C$301,$C$4)</f>
        <v>74</v>
      </c>
    </row>
    <row r="47" spans="1:21" x14ac:dyDescent="0.25">
      <c r="A47">
        <v>1046</v>
      </c>
      <c r="B47" t="s">
        <v>67</v>
      </c>
      <c r="C47" t="s">
        <v>19</v>
      </c>
      <c r="D47" t="s">
        <v>31</v>
      </c>
      <c r="E47" t="s">
        <v>32</v>
      </c>
      <c r="F47" t="s">
        <v>12</v>
      </c>
      <c r="G47">
        <v>6</v>
      </c>
      <c r="H47">
        <v>4419</v>
      </c>
      <c r="I47">
        <f t="shared" si="0"/>
        <v>26514</v>
      </c>
      <c r="J47" t="str">
        <f t="shared" si="1"/>
        <v>Normal</v>
      </c>
      <c r="K47" t="str">
        <v>2024-06</v>
      </c>
      <c r="L47" t="str">
        <v>June</v>
      </c>
    </row>
    <row r="48" spans="1:21" x14ac:dyDescent="0.25">
      <c r="A48">
        <v>1047</v>
      </c>
      <c r="B48" t="s">
        <v>68</v>
      </c>
      <c r="C48" t="s">
        <v>9</v>
      </c>
      <c r="D48" t="s">
        <v>31</v>
      </c>
      <c r="E48" t="s">
        <v>32</v>
      </c>
      <c r="F48" t="s">
        <v>12</v>
      </c>
      <c r="G48">
        <v>10</v>
      </c>
      <c r="H48">
        <v>3255</v>
      </c>
      <c r="I48">
        <f t="shared" si="0"/>
        <v>32550</v>
      </c>
      <c r="J48" t="str">
        <f t="shared" si="1"/>
        <v>Normal</v>
      </c>
      <c r="K48" t="str">
        <v>2024-01</v>
      </c>
      <c r="L48" t="str">
        <v>January</v>
      </c>
      <c r="T48" s="3" t="s">
        <v>192</v>
      </c>
    </row>
    <row r="49" spans="1:21" x14ac:dyDescent="0.25">
      <c r="A49">
        <v>1048</v>
      </c>
      <c r="B49" t="s">
        <v>69</v>
      </c>
      <c r="C49" t="s">
        <v>19</v>
      </c>
      <c r="D49" t="s">
        <v>42</v>
      </c>
      <c r="E49" t="s">
        <v>11</v>
      </c>
      <c r="F49" t="s">
        <v>12</v>
      </c>
      <c r="G49">
        <v>8</v>
      </c>
      <c r="H49">
        <v>24971</v>
      </c>
      <c r="I49">
        <f t="shared" si="0"/>
        <v>199768</v>
      </c>
      <c r="J49" t="str">
        <f t="shared" si="1"/>
        <v>High</v>
      </c>
      <c r="K49" t="str">
        <v>2024-05</v>
      </c>
      <c r="L49" t="str">
        <v>May</v>
      </c>
    </row>
    <row r="50" spans="1:21" x14ac:dyDescent="0.25">
      <c r="A50">
        <v>1049</v>
      </c>
      <c r="B50" t="s">
        <v>70</v>
      </c>
      <c r="C50" t="s">
        <v>19</v>
      </c>
      <c r="D50" t="s">
        <v>42</v>
      </c>
      <c r="E50" t="s">
        <v>25</v>
      </c>
      <c r="F50" t="s">
        <v>17</v>
      </c>
      <c r="G50">
        <v>4</v>
      </c>
      <c r="H50">
        <v>20133</v>
      </c>
      <c r="I50">
        <f t="shared" si="0"/>
        <v>80532</v>
      </c>
      <c r="J50" t="str">
        <f t="shared" si="1"/>
        <v>Normal</v>
      </c>
      <c r="K50" t="str">
        <v>2024-03</v>
      </c>
      <c r="L50" t="str">
        <v>March</v>
      </c>
      <c r="T50" s="3" t="s">
        <v>193</v>
      </c>
    </row>
    <row r="51" spans="1:21" x14ac:dyDescent="0.25">
      <c r="A51">
        <v>1050</v>
      </c>
      <c r="B51" t="s">
        <v>71</v>
      </c>
      <c r="C51" t="s">
        <v>27</v>
      </c>
      <c r="D51" t="s">
        <v>42</v>
      </c>
      <c r="E51" t="s">
        <v>20</v>
      </c>
      <c r="F51" t="s">
        <v>17</v>
      </c>
      <c r="G51">
        <v>5</v>
      </c>
      <c r="H51">
        <v>50819</v>
      </c>
      <c r="I51">
        <f t="shared" si="0"/>
        <v>254095</v>
      </c>
      <c r="J51" t="str">
        <f t="shared" si="1"/>
        <v>High</v>
      </c>
      <c r="K51" t="str">
        <v>2024-04</v>
      </c>
      <c r="L51" t="str">
        <v>April</v>
      </c>
    </row>
    <row r="52" spans="1:21" x14ac:dyDescent="0.25">
      <c r="A52">
        <v>1051</v>
      </c>
      <c r="B52" t="s">
        <v>72</v>
      </c>
      <c r="C52" t="s">
        <v>9</v>
      </c>
      <c r="D52" t="s">
        <v>31</v>
      </c>
      <c r="E52" t="s">
        <v>25</v>
      </c>
      <c r="F52" t="s">
        <v>17</v>
      </c>
      <c r="G52">
        <v>10</v>
      </c>
      <c r="H52">
        <v>21296</v>
      </c>
      <c r="I52">
        <f t="shared" si="0"/>
        <v>212960</v>
      </c>
      <c r="J52" t="str">
        <f t="shared" si="1"/>
        <v>High</v>
      </c>
      <c r="K52" t="str">
        <v>2024-03</v>
      </c>
      <c r="L52" t="str">
        <v>March</v>
      </c>
      <c r="T52" s="3" t="s">
        <v>194</v>
      </c>
    </row>
    <row r="53" spans="1:21" x14ac:dyDescent="0.25">
      <c r="A53">
        <v>1052</v>
      </c>
      <c r="B53" t="s">
        <v>73</v>
      </c>
      <c r="C53" t="s">
        <v>14</v>
      </c>
      <c r="D53" t="s">
        <v>10</v>
      </c>
      <c r="E53" t="s">
        <v>35</v>
      </c>
      <c r="F53" t="s">
        <v>12</v>
      </c>
      <c r="G53">
        <v>9</v>
      </c>
      <c r="H53">
        <v>9249</v>
      </c>
      <c r="I53">
        <f t="shared" si="0"/>
        <v>83241</v>
      </c>
      <c r="J53" t="str">
        <f t="shared" si="1"/>
        <v>Normal</v>
      </c>
      <c r="K53" t="str">
        <v>2024-03</v>
      </c>
      <c r="L53" t="str">
        <v>March</v>
      </c>
    </row>
    <row r="54" spans="1:21" x14ac:dyDescent="0.25">
      <c r="A54">
        <v>1053</v>
      </c>
      <c r="B54" t="s">
        <v>57</v>
      </c>
      <c r="C54" t="s">
        <v>27</v>
      </c>
      <c r="D54" t="s">
        <v>42</v>
      </c>
      <c r="E54" t="s">
        <v>23</v>
      </c>
      <c r="F54" t="s">
        <v>17</v>
      </c>
      <c r="G54">
        <v>2</v>
      </c>
      <c r="H54">
        <v>30691</v>
      </c>
      <c r="I54">
        <f t="shared" si="0"/>
        <v>61382</v>
      </c>
      <c r="J54" t="str">
        <f t="shared" si="1"/>
        <v>Normal</v>
      </c>
      <c r="K54" t="str">
        <v>2024-03</v>
      </c>
      <c r="L54" t="str">
        <v>March</v>
      </c>
      <c r="T54" s="3" t="s">
        <v>195</v>
      </c>
    </row>
    <row r="55" spans="1:21" x14ac:dyDescent="0.25">
      <c r="A55">
        <v>1054</v>
      </c>
      <c r="B55" t="s">
        <v>74</v>
      </c>
      <c r="C55" t="s">
        <v>14</v>
      </c>
      <c r="D55" t="s">
        <v>42</v>
      </c>
      <c r="E55" t="s">
        <v>25</v>
      </c>
      <c r="F55" t="s">
        <v>17</v>
      </c>
      <c r="G55">
        <v>1</v>
      </c>
      <c r="H55">
        <v>18979</v>
      </c>
      <c r="I55">
        <f t="shared" si="0"/>
        <v>18979</v>
      </c>
      <c r="J55" t="str">
        <f t="shared" si="1"/>
        <v>Normal</v>
      </c>
      <c r="K55" t="str">
        <v>2024-05</v>
      </c>
      <c r="L55" t="str">
        <v>May</v>
      </c>
    </row>
    <row r="56" spans="1:21" ht="18.75" x14ac:dyDescent="0.3">
      <c r="A56">
        <v>1055</v>
      </c>
      <c r="B56" t="s">
        <v>75</v>
      </c>
      <c r="C56" t="s">
        <v>27</v>
      </c>
      <c r="D56" t="s">
        <v>29</v>
      </c>
      <c r="E56" t="s">
        <v>11</v>
      </c>
      <c r="F56" t="s">
        <v>12</v>
      </c>
      <c r="G56">
        <v>10</v>
      </c>
      <c r="H56">
        <v>25521</v>
      </c>
      <c r="I56">
        <f t="shared" si="0"/>
        <v>255210</v>
      </c>
      <c r="J56" t="str">
        <f t="shared" si="1"/>
        <v>High</v>
      </c>
      <c r="K56" t="str">
        <v>2024-01</v>
      </c>
      <c r="L56" t="str">
        <v>January</v>
      </c>
      <c r="T56" s="4" t="s">
        <v>196</v>
      </c>
    </row>
    <row r="57" spans="1:21" x14ac:dyDescent="0.25">
      <c r="A57">
        <v>1056</v>
      </c>
      <c r="B57" t="s">
        <v>76</v>
      </c>
      <c r="C57" t="s">
        <v>14</v>
      </c>
      <c r="D57" t="s">
        <v>42</v>
      </c>
      <c r="E57" t="s">
        <v>23</v>
      </c>
      <c r="F57" t="s">
        <v>17</v>
      </c>
      <c r="G57">
        <v>5</v>
      </c>
      <c r="H57">
        <v>32101</v>
      </c>
      <c r="I57">
        <f t="shared" si="0"/>
        <v>160505</v>
      </c>
      <c r="J57" t="str">
        <f t="shared" si="1"/>
        <v>High</v>
      </c>
      <c r="K57" t="str">
        <v>2024-05</v>
      </c>
      <c r="L57" t="str">
        <v>May</v>
      </c>
    </row>
    <row r="58" spans="1:21" x14ac:dyDescent="0.25">
      <c r="A58">
        <v>1057</v>
      </c>
      <c r="B58" t="s">
        <v>77</v>
      </c>
      <c r="C58" t="s">
        <v>9</v>
      </c>
      <c r="D58" t="s">
        <v>42</v>
      </c>
      <c r="E58" t="s">
        <v>35</v>
      </c>
      <c r="F58" t="s">
        <v>12</v>
      </c>
      <c r="G58">
        <v>1</v>
      </c>
      <c r="H58">
        <v>6381</v>
      </c>
      <c r="I58">
        <f t="shared" si="0"/>
        <v>6381</v>
      </c>
      <c r="J58" t="str">
        <f t="shared" si="1"/>
        <v>Normal</v>
      </c>
      <c r="K58" t="str">
        <v>2024-01</v>
      </c>
      <c r="L58" t="str">
        <v>January</v>
      </c>
      <c r="T58" s="3" t="s">
        <v>197</v>
      </c>
    </row>
    <row r="59" spans="1:21" x14ac:dyDescent="0.25">
      <c r="A59">
        <v>1058</v>
      </c>
      <c r="B59" t="s">
        <v>78</v>
      </c>
      <c r="C59" t="s">
        <v>19</v>
      </c>
      <c r="D59" t="s">
        <v>10</v>
      </c>
      <c r="E59" t="s">
        <v>32</v>
      </c>
      <c r="F59" t="s">
        <v>12</v>
      </c>
      <c r="G59">
        <v>6</v>
      </c>
      <c r="H59">
        <v>4012</v>
      </c>
      <c r="I59">
        <f t="shared" si="0"/>
        <v>24072</v>
      </c>
      <c r="J59" t="str">
        <f t="shared" si="1"/>
        <v>Normal</v>
      </c>
      <c r="K59" t="str">
        <v>2024-04</v>
      </c>
      <c r="L59" t="str">
        <v>April</v>
      </c>
    </row>
    <row r="60" spans="1:21" x14ac:dyDescent="0.25">
      <c r="A60">
        <v>1059</v>
      </c>
      <c r="B60" t="s">
        <v>79</v>
      </c>
      <c r="C60" t="s">
        <v>27</v>
      </c>
      <c r="D60" t="s">
        <v>49</v>
      </c>
      <c r="E60" t="s">
        <v>20</v>
      </c>
      <c r="F60" t="s">
        <v>17</v>
      </c>
      <c r="G60">
        <v>8</v>
      </c>
      <c r="H60">
        <v>52411</v>
      </c>
      <c r="I60">
        <f t="shared" si="0"/>
        <v>419288</v>
      </c>
      <c r="J60" t="str">
        <f t="shared" si="1"/>
        <v>High</v>
      </c>
      <c r="K60" t="str">
        <v>2024-06</v>
      </c>
      <c r="L60" t="str">
        <v>June</v>
      </c>
      <c r="T60" s="6" t="s">
        <v>229</v>
      </c>
      <c r="U60" t="s">
        <v>231</v>
      </c>
    </row>
    <row r="61" spans="1:21" x14ac:dyDescent="0.25">
      <c r="A61">
        <v>1060</v>
      </c>
      <c r="B61" t="s">
        <v>72</v>
      </c>
      <c r="C61" t="s">
        <v>19</v>
      </c>
      <c r="D61" t="s">
        <v>31</v>
      </c>
      <c r="E61" t="s">
        <v>23</v>
      </c>
      <c r="F61" t="s">
        <v>17</v>
      </c>
      <c r="G61">
        <v>7</v>
      </c>
      <c r="H61">
        <v>30077</v>
      </c>
      <c r="I61">
        <f t="shared" si="0"/>
        <v>210539</v>
      </c>
      <c r="J61" t="str">
        <f t="shared" si="1"/>
        <v>High</v>
      </c>
      <c r="K61" t="str">
        <v>2024-03</v>
      </c>
      <c r="L61" t="str">
        <v>March</v>
      </c>
      <c r="T61" s="7" t="s">
        <v>14</v>
      </c>
      <c r="U61" s="19">
        <v>10044810</v>
      </c>
    </row>
    <row r="62" spans="1:21" x14ac:dyDescent="0.25">
      <c r="A62">
        <v>1061</v>
      </c>
      <c r="B62" t="s">
        <v>80</v>
      </c>
      <c r="C62" t="s">
        <v>27</v>
      </c>
      <c r="D62" t="s">
        <v>42</v>
      </c>
      <c r="E62" t="s">
        <v>25</v>
      </c>
      <c r="F62" t="s">
        <v>17</v>
      </c>
      <c r="G62">
        <v>3</v>
      </c>
      <c r="H62">
        <v>21576</v>
      </c>
      <c r="I62">
        <f t="shared" si="0"/>
        <v>64728</v>
      </c>
      <c r="J62" t="str">
        <f t="shared" si="1"/>
        <v>Normal</v>
      </c>
      <c r="K62" t="str">
        <v>2024-06</v>
      </c>
      <c r="L62" t="str">
        <v>June</v>
      </c>
      <c r="T62" s="7" t="s">
        <v>19</v>
      </c>
      <c r="U62" s="19">
        <v>8259590</v>
      </c>
    </row>
    <row r="63" spans="1:21" x14ac:dyDescent="0.25">
      <c r="A63">
        <v>1062</v>
      </c>
      <c r="B63" t="s">
        <v>81</v>
      </c>
      <c r="C63" t="s">
        <v>14</v>
      </c>
      <c r="D63" t="s">
        <v>10</v>
      </c>
      <c r="E63" t="s">
        <v>11</v>
      </c>
      <c r="F63" t="s">
        <v>12</v>
      </c>
      <c r="G63">
        <v>9</v>
      </c>
      <c r="H63">
        <v>23039</v>
      </c>
      <c r="I63">
        <f t="shared" si="0"/>
        <v>207351</v>
      </c>
      <c r="J63" t="str">
        <f t="shared" si="1"/>
        <v>High</v>
      </c>
      <c r="K63" t="str">
        <v>2024-01</v>
      </c>
      <c r="L63" t="str">
        <v>January</v>
      </c>
      <c r="T63" s="7" t="s">
        <v>9</v>
      </c>
      <c r="U63" s="19">
        <v>8790984</v>
      </c>
    </row>
    <row r="64" spans="1:21" x14ac:dyDescent="0.25">
      <c r="A64">
        <v>1063</v>
      </c>
      <c r="B64" t="s">
        <v>82</v>
      </c>
      <c r="C64" t="s">
        <v>14</v>
      </c>
      <c r="D64" t="s">
        <v>31</v>
      </c>
      <c r="E64" t="s">
        <v>23</v>
      </c>
      <c r="F64" t="s">
        <v>17</v>
      </c>
      <c r="G64">
        <v>5</v>
      </c>
      <c r="H64">
        <v>30371</v>
      </c>
      <c r="I64">
        <f t="shared" si="0"/>
        <v>151855</v>
      </c>
      <c r="J64" t="str">
        <f t="shared" si="1"/>
        <v>High</v>
      </c>
      <c r="K64" t="str">
        <v>2024-05</v>
      </c>
      <c r="L64" t="str">
        <v>May</v>
      </c>
      <c r="T64" s="7" t="s">
        <v>27</v>
      </c>
      <c r="U64" s="19">
        <v>8717896</v>
      </c>
    </row>
    <row r="65" spans="1:23" x14ac:dyDescent="0.25">
      <c r="A65">
        <v>1064</v>
      </c>
      <c r="B65" t="s">
        <v>24</v>
      </c>
      <c r="C65" t="s">
        <v>19</v>
      </c>
      <c r="D65" t="s">
        <v>15</v>
      </c>
      <c r="E65" t="s">
        <v>32</v>
      </c>
      <c r="F65" t="s">
        <v>12</v>
      </c>
      <c r="G65">
        <v>1</v>
      </c>
      <c r="H65">
        <v>421</v>
      </c>
      <c r="I65">
        <f t="shared" si="0"/>
        <v>421</v>
      </c>
      <c r="J65" t="str">
        <f t="shared" si="1"/>
        <v>Normal</v>
      </c>
      <c r="K65" t="str">
        <v>2024-03</v>
      </c>
      <c r="L65" t="str">
        <v>March</v>
      </c>
      <c r="T65" s="7" t="s">
        <v>228</v>
      </c>
      <c r="U65" s="19">
        <v>35813280</v>
      </c>
    </row>
    <row r="66" spans="1:23" x14ac:dyDescent="0.25">
      <c r="A66">
        <v>1065</v>
      </c>
      <c r="B66" t="s">
        <v>13</v>
      </c>
      <c r="C66" t="s">
        <v>9</v>
      </c>
      <c r="D66" t="s">
        <v>42</v>
      </c>
      <c r="E66" t="s">
        <v>35</v>
      </c>
      <c r="F66" t="s">
        <v>12</v>
      </c>
      <c r="G66">
        <v>9</v>
      </c>
      <c r="H66">
        <v>7180</v>
      </c>
      <c r="I66">
        <f t="shared" si="0"/>
        <v>64620</v>
      </c>
      <c r="J66" t="str">
        <f t="shared" si="1"/>
        <v>Normal</v>
      </c>
      <c r="K66" t="str">
        <v>2024-04</v>
      </c>
      <c r="L66" t="str">
        <v>April</v>
      </c>
    </row>
    <row r="67" spans="1:23" x14ac:dyDescent="0.25">
      <c r="A67">
        <v>1066</v>
      </c>
      <c r="B67" t="s">
        <v>67</v>
      </c>
      <c r="C67" t="s">
        <v>27</v>
      </c>
      <c r="D67" t="s">
        <v>29</v>
      </c>
      <c r="E67" t="s">
        <v>11</v>
      </c>
      <c r="F67" t="s">
        <v>12</v>
      </c>
      <c r="G67">
        <v>10</v>
      </c>
      <c r="H67">
        <v>26723</v>
      </c>
      <c r="I67">
        <f t="shared" ref="I67:I130" si="2">H67*G67</f>
        <v>267230</v>
      </c>
      <c r="J67" t="str">
        <f t="shared" ref="J67:J130" si="3">IF(I67&gt;100000,"High","Normal")</f>
        <v>High</v>
      </c>
      <c r="K67" t="str">
        <v>2024-06</v>
      </c>
      <c r="L67" t="str">
        <v>June</v>
      </c>
    </row>
    <row r="68" spans="1:23" x14ac:dyDescent="0.25">
      <c r="A68">
        <v>1067</v>
      </c>
      <c r="B68" t="s">
        <v>83</v>
      </c>
      <c r="C68" t="s">
        <v>27</v>
      </c>
      <c r="D68" t="s">
        <v>15</v>
      </c>
      <c r="E68" t="s">
        <v>20</v>
      </c>
      <c r="F68" t="s">
        <v>17</v>
      </c>
      <c r="G68">
        <v>9</v>
      </c>
      <c r="H68">
        <v>50050</v>
      </c>
      <c r="I68">
        <f t="shared" si="2"/>
        <v>450450</v>
      </c>
      <c r="J68" t="str">
        <f t="shared" si="3"/>
        <v>High</v>
      </c>
      <c r="K68" t="str">
        <v>2024-03</v>
      </c>
      <c r="L68" t="str">
        <v>March</v>
      </c>
      <c r="T68" s="3" t="s">
        <v>198</v>
      </c>
    </row>
    <row r="69" spans="1:23" x14ac:dyDescent="0.25">
      <c r="A69">
        <v>1068</v>
      </c>
      <c r="B69" t="s">
        <v>84</v>
      </c>
      <c r="C69" t="s">
        <v>19</v>
      </c>
      <c r="D69" t="s">
        <v>29</v>
      </c>
      <c r="E69" t="s">
        <v>32</v>
      </c>
      <c r="F69" t="s">
        <v>12</v>
      </c>
      <c r="G69">
        <v>5</v>
      </c>
      <c r="H69">
        <v>3513</v>
      </c>
      <c r="I69">
        <f t="shared" si="2"/>
        <v>17565</v>
      </c>
      <c r="J69" t="str">
        <f t="shared" si="3"/>
        <v>Normal</v>
      </c>
      <c r="K69" t="str">
        <v>2024-06</v>
      </c>
      <c r="L69" t="str">
        <v>June</v>
      </c>
    </row>
    <row r="70" spans="1:23" x14ac:dyDescent="0.25">
      <c r="A70">
        <v>1069</v>
      </c>
      <c r="B70" t="s">
        <v>85</v>
      </c>
      <c r="C70" t="s">
        <v>14</v>
      </c>
      <c r="D70" t="s">
        <v>42</v>
      </c>
      <c r="E70" t="s">
        <v>20</v>
      </c>
      <c r="F70" t="s">
        <v>17</v>
      </c>
      <c r="G70">
        <v>8</v>
      </c>
      <c r="H70">
        <v>52234</v>
      </c>
      <c r="I70">
        <f t="shared" si="2"/>
        <v>417872</v>
      </c>
      <c r="J70" t="str">
        <f t="shared" si="3"/>
        <v>High</v>
      </c>
      <c r="K70" t="str">
        <v>2024-05</v>
      </c>
      <c r="L70" t="str">
        <v>May</v>
      </c>
      <c r="T70" s="6" t="s">
        <v>230</v>
      </c>
      <c r="U70" s="6" t="s">
        <v>227</v>
      </c>
    </row>
    <row r="71" spans="1:23" x14ac:dyDescent="0.25">
      <c r="A71">
        <v>1070</v>
      </c>
      <c r="B71" t="s">
        <v>86</v>
      </c>
      <c r="C71" t="s">
        <v>9</v>
      </c>
      <c r="D71" t="s">
        <v>42</v>
      </c>
      <c r="E71" t="s">
        <v>11</v>
      </c>
      <c r="F71" t="s">
        <v>12</v>
      </c>
      <c r="G71">
        <v>6</v>
      </c>
      <c r="H71">
        <v>26727</v>
      </c>
      <c r="I71">
        <f t="shared" si="2"/>
        <v>160362</v>
      </c>
      <c r="J71" t="str">
        <f t="shared" si="3"/>
        <v>High</v>
      </c>
      <c r="K71" t="str">
        <v>2024-05</v>
      </c>
      <c r="L71" t="str">
        <v>May</v>
      </c>
      <c r="T71" s="6" t="s">
        <v>229</v>
      </c>
      <c r="U71" t="s">
        <v>17</v>
      </c>
      <c r="V71" t="s">
        <v>12</v>
      </c>
      <c r="W71" t="s">
        <v>228</v>
      </c>
    </row>
    <row r="72" spans="1:23" x14ac:dyDescent="0.25">
      <c r="A72">
        <v>1071</v>
      </c>
      <c r="B72" t="s">
        <v>87</v>
      </c>
      <c r="C72" t="s">
        <v>14</v>
      </c>
      <c r="D72" t="s">
        <v>42</v>
      </c>
      <c r="E72" t="s">
        <v>32</v>
      </c>
      <c r="F72" t="s">
        <v>12</v>
      </c>
      <c r="G72">
        <v>2</v>
      </c>
      <c r="H72">
        <v>2082</v>
      </c>
      <c r="I72">
        <f t="shared" si="2"/>
        <v>4164</v>
      </c>
      <c r="J72" t="str">
        <f t="shared" si="3"/>
        <v>Normal</v>
      </c>
      <c r="K72" t="str">
        <v>2024-06</v>
      </c>
      <c r="L72" t="str">
        <v>June</v>
      </c>
      <c r="T72" s="7" t="s">
        <v>49</v>
      </c>
      <c r="U72" s="19">
        <v>5156602</v>
      </c>
      <c r="V72" s="19">
        <v>788272</v>
      </c>
      <c r="W72" s="19">
        <v>5944874</v>
      </c>
    </row>
    <row r="73" spans="1:23" x14ac:dyDescent="0.25">
      <c r="A73">
        <v>1072</v>
      </c>
      <c r="B73" t="s">
        <v>88</v>
      </c>
      <c r="C73" t="s">
        <v>9</v>
      </c>
      <c r="D73" t="s">
        <v>15</v>
      </c>
      <c r="E73" t="s">
        <v>20</v>
      </c>
      <c r="F73" t="s">
        <v>17</v>
      </c>
      <c r="G73">
        <v>4</v>
      </c>
      <c r="H73">
        <v>49984</v>
      </c>
      <c r="I73">
        <f t="shared" si="2"/>
        <v>199936</v>
      </c>
      <c r="J73" t="str">
        <f t="shared" si="3"/>
        <v>High</v>
      </c>
      <c r="K73" t="str">
        <v>2024-01</v>
      </c>
      <c r="L73" t="str">
        <v>January</v>
      </c>
      <c r="T73" s="7" t="s">
        <v>15</v>
      </c>
      <c r="U73" s="19">
        <v>5557399</v>
      </c>
      <c r="V73" s="19">
        <v>1172636</v>
      </c>
      <c r="W73" s="19">
        <v>6730035</v>
      </c>
    </row>
    <row r="74" spans="1:23" x14ac:dyDescent="0.25">
      <c r="A74">
        <v>1073</v>
      </c>
      <c r="B74" t="s">
        <v>18</v>
      </c>
      <c r="C74" t="s">
        <v>27</v>
      </c>
      <c r="D74" t="s">
        <v>49</v>
      </c>
      <c r="E74" t="s">
        <v>11</v>
      </c>
      <c r="F74" t="s">
        <v>12</v>
      </c>
      <c r="G74">
        <v>1</v>
      </c>
      <c r="H74">
        <v>23904</v>
      </c>
      <c r="I74">
        <f t="shared" si="2"/>
        <v>23904</v>
      </c>
      <c r="J74" t="str">
        <f t="shared" si="3"/>
        <v>Normal</v>
      </c>
      <c r="K74" t="str">
        <v>2024-02</v>
      </c>
      <c r="L74" t="str">
        <v>February</v>
      </c>
      <c r="T74" s="7" t="s">
        <v>10</v>
      </c>
      <c r="U74" s="19">
        <v>5319916</v>
      </c>
      <c r="V74" s="19">
        <v>1860008</v>
      </c>
      <c r="W74" s="19">
        <v>7179924</v>
      </c>
    </row>
    <row r="75" spans="1:23" x14ac:dyDescent="0.25">
      <c r="A75">
        <v>1074</v>
      </c>
      <c r="B75" t="s">
        <v>89</v>
      </c>
      <c r="C75" t="s">
        <v>9</v>
      </c>
      <c r="D75" t="s">
        <v>10</v>
      </c>
      <c r="E75" t="s">
        <v>35</v>
      </c>
      <c r="F75" t="s">
        <v>12</v>
      </c>
      <c r="G75">
        <v>2</v>
      </c>
      <c r="H75">
        <v>5653</v>
      </c>
      <c r="I75">
        <f t="shared" si="2"/>
        <v>11306</v>
      </c>
      <c r="J75" t="str">
        <f t="shared" si="3"/>
        <v>Normal</v>
      </c>
      <c r="K75" t="str">
        <v>2024-01</v>
      </c>
      <c r="L75" t="str">
        <v>January</v>
      </c>
      <c r="T75" s="7" t="s">
        <v>42</v>
      </c>
      <c r="U75" s="19">
        <v>4206034</v>
      </c>
      <c r="V75" s="19">
        <v>2113882</v>
      </c>
      <c r="W75" s="19">
        <v>6319916</v>
      </c>
    </row>
    <row r="76" spans="1:23" x14ac:dyDescent="0.25">
      <c r="A76">
        <v>1075</v>
      </c>
      <c r="B76" t="s">
        <v>68</v>
      </c>
      <c r="C76" t="s">
        <v>14</v>
      </c>
      <c r="D76" t="s">
        <v>42</v>
      </c>
      <c r="E76" t="s">
        <v>20</v>
      </c>
      <c r="F76" t="s">
        <v>17</v>
      </c>
      <c r="G76">
        <v>6</v>
      </c>
      <c r="H76">
        <v>48800</v>
      </c>
      <c r="I76">
        <f t="shared" si="2"/>
        <v>292800</v>
      </c>
      <c r="J76" t="str">
        <f t="shared" si="3"/>
        <v>High</v>
      </c>
      <c r="K76" t="str">
        <v>2024-01</v>
      </c>
      <c r="L76" t="str">
        <v>January</v>
      </c>
      <c r="T76" s="7" t="s">
        <v>29</v>
      </c>
      <c r="U76" s="19">
        <v>2926563</v>
      </c>
      <c r="V76" s="19">
        <v>818740</v>
      </c>
      <c r="W76" s="19">
        <v>3745303</v>
      </c>
    </row>
    <row r="77" spans="1:23" x14ac:dyDescent="0.25">
      <c r="A77">
        <v>1076</v>
      </c>
      <c r="B77" t="s">
        <v>90</v>
      </c>
      <c r="C77" t="s">
        <v>9</v>
      </c>
      <c r="D77" t="s">
        <v>10</v>
      </c>
      <c r="E77" t="s">
        <v>20</v>
      </c>
      <c r="F77" t="s">
        <v>17</v>
      </c>
      <c r="G77">
        <v>8</v>
      </c>
      <c r="H77">
        <v>48578</v>
      </c>
      <c r="I77">
        <f t="shared" si="2"/>
        <v>388624</v>
      </c>
      <c r="J77" t="str">
        <f t="shared" si="3"/>
        <v>High</v>
      </c>
      <c r="K77" t="str">
        <v>2024-02</v>
      </c>
      <c r="L77" t="str">
        <v>February</v>
      </c>
      <c r="T77" s="7" t="s">
        <v>31</v>
      </c>
      <c r="U77" s="19">
        <v>4730122</v>
      </c>
      <c r="V77" s="19">
        <v>1163106</v>
      </c>
      <c r="W77" s="19">
        <v>5893228</v>
      </c>
    </row>
    <row r="78" spans="1:23" x14ac:dyDescent="0.25">
      <c r="A78">
        <v>1077</v>
      </c>
      <c r="B78" t="s">
        <v>91</v>
      </c>
      <c r="C78" t="s">
        <v>9</v>
      </c>
      <c r="D78" t="s">
        <v>42</v>
      </c>
      <c r="E78" t="s">
        <v>23</v>
      </c>
      <c r="F78" t="s">
        <v>17</v>
      </c>
      <c r="G78">
        <v>2</v>
      </c>
      <c r="H78">
        <v>28100</v>
      </c>
      <c r="I78">
        <f t="shared" si="2"/>
        <v>56200</v>
      </c>
      <c r="J78" t="str">
        <f t="shared" si="3"/>
        <v>Normal</v>
      </c>
      <c r="K78" t="str">
        <v>2024-05</v>
      </c>
      <c r="L78" t="str">
        <v>May</v>
      </c>
      <c r="T78" s="7" t="s">
        <v>228</v>
      </c>
      <c r="U78" s="19">
        <v>27896636</v>
      </c>
      <c r="V78" s="19">
        <v>7916644</v>
      </c>
      <c r="W78" s="19">
        <v>35813280</v>
      </c>
    </row>
    <row r="79" spans="1:23" x14ac:dyDescent="0.25">
      <c r="A79">
        <v>1078</v>
      </c>
      <c r="B79" t="s">
        <v>92</v>
      </c>
      <c r="C79" t="s">
        <v>19</v>
      </c>
      <c r="D79" t="s">
        <v>15</v>
      </c>
      <c r="E79" t="s">
        <v>25</v>
      </c>
      <c r="F79" t="s">
        <v>17</v>
      </c>
      <c r="G79">
        <v>10</v>
      </c>
      <c r="H79">
        <v>20007</v>
      </c>
      <c r="I79">
        <f t="shared" si="2"/>
        <v>200070</v>
      </c>
      <c r="J79" t="str">
        <f t="shared" si="3"/>
        <v>High</v>
      </c>
      <c r="K79" t="str">
        <v>2024-04</v>
      </c>
      <c r="L79" t="str">
        <v>April</v>
      </c>
    </row>
    <row r="80" spans="1:23" x14ac:dyDescent="0.25">
      <c r="A80">
        <v>1079</v>
      </c>
      <c r="B80" t="s">
        <v>89</v>
      </c>
      <c r="C80" t="s">
        <v>19</v>
      </c>
      <c r="D80" t="s">
        <v>31</v>
      </c>
      <c r="E80" t="s">
        <v>32</v>
      </c>
      <c r="F80" t="s">
        <v>12</v>
      </c>
      <c r="G80">
        <v>7</v>
      </c>
      <c r="H80">
        <v>800</v>
      </c>
      <c r="I80">
        <f t="shared" si="2"/>
        <v>5600</v>
      </c>
      <c r="J80" t="str">
        <f t="shared" si="3"/>
        <v>Normal</v>
      </c>
      <c r="K80" t="str">
        <v>2024-01</v>
      </c>
      <c r="L80" t="str">
        <v>January</v>
      </c>
      <c r="T80" s="3" t="s">
        <v>199</v>
      </c>
    </row>
    <row r="81" spans="1:21" x14ac:dyDescent="0.25">
      <c r="A81">
        <v>1080</v>
      </c>
      <c r="B81" t="s">
        <v>93</v>
      </c>
      <c r="C81" t="s">
        <v>19</v>
      </c>
      <c r="D81" t="s">
        <v>49</v>
      </c>
      <c r="E81" t="s">
        <v>35</v>
      </c>
      <c r="F81" t="s">
        <v>12</v>
      </c>
      <c r="G81">
        <v>7</v>
      </c>
      <c r="H81">
        <v>8851</v>
      </c>
      <c r="I81">
        <f t="shared" si="2"/>
        <v>61957</v>
      </c>
      <c r="J81" t="str">
        <f t="shared" si="3"/>
        <v>Normal</v>
      </c>
      <c r="K81" t="str">
        <v>2024-03</v>
      </c>
      <c r="L81" t="str">
        <v>March</v>
      </c>
    </row>
    <row r="82" spans="1:21" x14ac:dyDescent="0.25">
      <c r="A82">
        <v>1081</v>
      </c>
      <c r="B82" t="s">
        <v>83</v>
      </c>
      <c r="C82" t="s">
        <v>19</v>
      </c>
      <c r="D82" t="s">
        <v>31</v>
      </c>
      <c r="E82" t="s">
        <v>32</v>
      </c>
      <c r="F82" t="s">
        <v>12</v>
      </c>
      <c r="G82">
        <v>8</v>
      </c>
      <c r="H82">
        <v>4829</v>
      </c>
      <c r="I82">
        <f t="shared" si="2"/>
        <v>38632</v>
      </c>
      <c r="J82" t="str">
        <f t="shared" si="3"/>
        <v>Normal</v>
      </c>
      <c r="K82" t="str">
        <v>2024-03</v>
      </c>
      <c r="L82" t="str">
        <v>March</v>
      </c>
      <c r="T82" s="6" t="s">
        <v>229</v>
      </c>
      <c r="U82" t="s">
        <v>230</v>
      </c>
    </row>
    <row r="83" spans="1:21" x14ac:dyDescent="0.25">
      <c r="A83">
        <v>1082</v>
      </c>
      <c r="B83" t="s">
        <v>86</v>
      </c>
      <c r="C83" t="s">
        <v>14</v>
      </c>
      <c r="D83" t="s">
        <v>31</v>
      </c>
      <c r="E83" t="s">
        <v>11</v>
      </c>
      <c r="F83" t="s">
        <v>12</v>
      </c>
      <c r="G83">
        <v>5</v>
      </c>
      <c r="H83">
        <v>26389</v>
      </c>
      <c r="I83">
        <f t="shared" si="2"/>
        <v>131945</v>
      </c>
      <c r="J83" t="str">
        <f t="shared" si="3"/>
        <v>High</v>
      </c>
      <c r="K83" t="str">
        <v>2024-05</v>
      </c>
      <c r="L83" t="str">
        <v>May</v>
      </c>
      <c r="T83" s="7" t="s">
        <v>232</v>
      </c>
      <c r="U83" s="19">
        <v>5952692</v>
      </c>
    </row>
    <row r="84" spans="1:21" x14ac:dyDescent="0.25">
      <c r="A84">
        <v>1083</v>
      </c>
      <c r="B84" t="s">
        <v>57</v>
      </c>
      <c r="C84" t="s">
        <v>27</v>
      </c>
      <c r="D84" t="s">
        <v>29</v>
      </c>
      <c r="E84" t="s">
        <v>35</v>
      </c>
      <c r="F84" t="s">
        <v>12</v>
      </c>
      <c r="G84">
        <v>6</v>
      </c>
      <c r="H84">
        <v>6485</v>
      </c>
      <c r="I84">
        <f t="shared" si="2"/>
        <v>38910</v>
      </c>
      <c r="J84" t="str">
        <f t="shared" si="3"/>
        <v>Normal</v>
      </c>
      <c r="K84" t="str">
        <v>2024-03</v>
      </c>
      <c r="L84" t="str">
        <v>March</v>
      </c>
      <c r="T84" s="7" t="s">
        <v>233</v>
      </c>
      <c r="U84" s="19">
        <v>5248903</v>
      </c>
    </row>
    <row r="85" spans="1:21" x14ac:dyDescent="0.25">
      <c r="A85">
        <v>1084</v>
      </c>
      <c r="B85" t="s">
        <v>94</v>
      </c>
      <c r="C85" t="s">
        <v>14</v>
      </c>
      <c r="D85" t="s">
        <v>10</v>
      </c>
      <c r="E85" t="s">
        <v>35</v>
      </c>
      <c r="F85" t="s">
        <v>12</v>
      </c>
      <c r="G85">
        <v>7</v>
      </c>
      <c r="H85">
        <v>8449</v>
      </c>
      <c r="I85">
        <f t="shared" si="2"/>
        <v>59143</v>
      </c>
      <c r="J85" t="str">
        <f t="shared" si="3"/>
        <v>Normal</v>
      </c>
      <c r="K85" t="str">
        <v>2024-06</v>
      </c>
      <c r="L85" t="str">
        <v>June</v>
      </c>
      <c r="T85" s="7" t="s">
        <v>234</v>
      </c>
      <c r="U85" s="19">
        <v>5977072</v>
      </c>
    </row>
    <row r="86" spans="1:21" x14ac:dyDescent="0.25">
      <c r="A86">
        <v>1085</v>
      </c>
      <c r="B86" t="s">
        <v>39</v>
      </c>
      <c r="C86" t="s">
        <v>9</v>
      </c>
      <c r="D86" t="s">
        <v>31</v>
      </c>
      <c r="E86" t="s">
        <v>20</v>
      </c>
      <c r="F86" t="s">
        <v>17</v>
      </c>
      <c r="G86">
        <v>10</v>
      </c>
      <c r="H86">
        <v>48047</v>
      </c>
      <c r="I86">
        <f t="shared" si="2"/>
        <v>480470</v>
      </c>
      <c r="J86" t="str">
        <f t="shared" si="3"/>
        <v>High</v>
      </c>
      <c r="K86" t="str">
        <v>2024-06</v>
      </c>
      <c r="L86" t="str">
        <v>June</v>
      </c>
      <c r="T86" s="7" t="s">
        <v>235</v>
      </c>
      <c r="U86" s="19">
        <v>5774225</v>
      </c>
    </row>
    <row r="87" spans="1:21" x14ac:dyDescent="0.25">
      <c r="A87">
        <v>1086</v>
      </c>
      <c r="B87" t="s">
        <v>95</v>
      </c>
      <c r="C87" t="s">
        <v>27</v>
      </c>
      <c r="D87" t="s">
        <v>42</v>
      </c>
      <c r="E87" t="s">
        <v>16</v>
      </c>
      <c r="F87" t="s">
        <v>17</v>
      </c>
      <c r="G87">
        <v>6</v>
      </c>
      <c r="H87">
        <v>17389</v>
      </c>
      <c r="I87">
        <f t="shared" si="2"/>
        <v>104334</v>
      </c>
      <c r="J87" t="str">
        <f t="shared" si="3"/>
        <v>High</v>
      </c>
      <c r="K87" t="str">
        <v>2024-02</v>
      </c>
      <c r="L87" t="str">
        <v>February</v>
      </c>
      <c r="T87" s="7" t="s">
        <v>236</v>
      </c>
      <c r="U87" s="19">
        <v>5697725</v>
      </c>
    </row>
    <row r="88" spans="1:21" x14ac:dyDescent="0.25">
      <c r="A88">
        <v>1087</v>
      </c>
      <c r="B88" t="s">
        <v>96</v>
      </c>
      <c r="C88" t="s">
        <v>19</v>
      </c>
      <c r="D88" t="s">
        <v>15</v>
      </c>
      <c r="E88" t="s">
        <v>35</v>
      </c>
      <c r="F88" t="s">
        <v>12</v>
      </c>
      <c r="G88">
        <v>1</v>
      </c>
      <c r="H88">
        <v>7245</v>
      </c>
      <c r="I88">
        <f t="shared" si="2"/>
        <v>7245</v>
      </c>
      <c r="J88" t="str">
        <f t="shared" si="3"/>
        <v>Normal</v>
      </c>
      <c r="K88" t="str">
        <v>2024-01</v>
      </c>
      <c r="L88" t="str">
        <v>January</v>
      </c>
      <c r="T88" s="7" t="s">
        <v>237</v>
      </c>
      <c r="U88" s="19">
        <v>7162663</v>
      </c>
    </row>
    <row r="89" spans="1:21" x14ac:dyDescent="0.25">
      <c r="A89">
        <v>1088</v>
      </c>
      <c r="B89" t="s">
        <v>97</v>
      </c>
      <c r="C89" t="s">
        <v>19</v>
      </c>
      <c r="D89" t="s">
        <v>42</v>
      </c>
      <c r="E89" t="s">
        <v>32</v>
      </c>
      <c r="F89" t="s">
        <v>12</v>
      </c>
      <c r="G89">
        <v>1</v>
      </c>
      <c r="H89">
        <v>2745</v>
      </c>
      <c r="I89">
        <f t="shared" si="2"/>
        <v>2745</v>
      </c>
      <c r="J89" t="str">
        <f t="shared" si="3"/>
        <v>Normal</v>
      </c>
      <c r="K89" t="str">
        <v>2024-02</v>
      </c>
      <c r="L89" t="str">
        <v>February</v>
      </c>
      <c r="T89" s="7" t="s">
        <v>228</v>
      </c>
      <c r="U89" s="19">
        <v>35813280</v>
      </c>
    </row>
    <row r="90" spans="1:21" x14ac:dyDescent="0.25">
      <c r="A90">
        <v>1089</v>
      </c>
      <c r="B90" t="s">
        <v>98</v>
      </c>
      <c r="C90" t="s">
        <v>14</v>
      </c>
      <c r="D90" t="s">
        <v>31</v>
      </c>
      <c r="E90" t="s">
        <v>25</v>
      </c>
      <c r="F90" t="s">
        <v>17</v>
      </c>
      <c r="G90">
        <v>10</v>
      </c>
      <c r="H90">
        <v>18563</v>
      </c>
      <c r="I90">
        <f t="shared" si="2"/>
        <v>185630</v>
      </c>
      <c r="J90" t="str">
        <f t="shared" si="3"/>
        <v>High</v>
      </c>
      <c r="K90" t="str">
        <v>2024-06</v>
      </c>
      <c r="L90" t="str">
        <v>June</v>
      </c>
    </row>
    <row r="91" spans="1:21" x14ac:dyDescent="0.25">
      <c r="A91">
        <v>1090</v>
      </c>
      <c r="B91" t="s">
        <v>99</v>
      </c>
      <c r="C91" t="s">
        <v>27</v>
      </c>
      <c r="D91" t="s">
        <v>10</v>
      </c>
      <c r="E91" t="s">
        <v>11</v>
      </c>
      <c r="F91" t="s">
        <v>12</v>
      </c>
      <c r="G91">
        <v>9</v>
      </c>
      <c r="H91">
        <v>27492</v>
      </c>
      <c r="I91">
        <f t="shared" si="2"/>
        <v>247428</v>
      </c>
      <c r="J91" t="str">
        <f t="shared" si="3"/>
        <v>High</v>
      </c>
      <c r="K91" t="str">
        <v>2024-03</v>
      </c>
      <c r="L91" t="str">
        <v>March</v>
      </c>
      <c r="T91" s="3" t="s">
        <v>200</v>
      </c>
    </row>
    <row r="92" spans="1:21" x14ac:dyDescent="0.25">
      <c r="A92">
        <v>1091</v>
      </c>
      <c r="B92" t="s">
        <v>100</v>
      </c>
      <c r="C92" t="s">
        <v>14</v>
      </c>
      <c r="D92" t="s">
        <v>31</v>
      </c>
      <c r="E92" t="s">
        <v>20</v>
      </c>
      <c r="F92" t="s">
        <v>17</v>
      </c>
      <c r="G92">
        <v>7</v>
      </c>
      <c r="H92">
        <v>48556</v>
      </c>
      <c r="I92">
        <f t="shared" si="2"/>
        <v>339892</v>
      </c>
      <c r="J92" t="str">
        <f t="shared" si="3"/>
        <v>High</v>
      </c>
      <c r="K92" t="str">
        <v>2024-01</v>
      </c>
      <c r="L92" t="str">
        <v>January</v>
      </c>
    </row>
    <row r="93" spans="1:21" x14ac:dyDescent="0.25">
      <c r="A93">
        <v>1092</v>
      </c>
      <c r="B93" t="s">
        <v>101</v>
      </c>
      <c r="C93" t="s">
        <v>14</v>
      </c>
      <c r="D93" t="s">
        <v>10</v>
      </c>
      <c r="E93" t="s">
        <v>32</v>
      </c>
      <c r="F93" t="s">
        <v>12</v>
      </c>
      <c r="G93">
        <v>5</v>
      </c>
      <c r="H93">
        <v>1956</v>
      </c>
      <c r="I93">
        <f t="shared" si="2"/>
        <v>9780</v>
      </c>
      <c r="J93" t="str">
        <f t="shared" si="3"/>
        <v>Normal</v>
      </c>
      <c r="K93" t="str">
        <v>2024-05</v>
      </c>
      <c r="L93" t="str">
        <v>May</v>
      </c>
    </row>
    <row r="94" spans="1:21" x14ac:dyDescent="0.25">
      <c r="A94">
        <v>1093</v>
      </c>
      <c r="B94" t="s">
        <v>102</v>
      </c>
      <c r="C94" t="s">
        <v>27</v>
      </c>
      <c r="D94" t="s">
        <v>10</v>
      </c>
      <c r="E94" t="s">
        <v>16</v>
      </c>
      <c r="F94" t="s">
        <v>17</v>
      </c>
      <c r="G94">
        <v>3</v>
      </c>
      <c r="H94">
        <v>17475</v>
      </c>
      <c r="I94">
        <f t="shared" si="2"/>
        <v>52425</v>
      </c>
      <c r="J94" t="str">
        <f t="shared" si="3"/>
        <v>Normal</v>
      </c>
      <c r="K94" t="str">
        <v>2024-02</v>
      </c>
      <c r="L94" t="str">
        <v>February</v>
      </c>
    </row>
    <row r="95" spans="1:21" x14ac:dyDescent="0.25">
      <c r="A95">
        <v>1094</v>
      </c>
      <c r="B95" t="s">
        <v>103</v>
      </c>
      <c r="C95" t="s">
        <v>9</v>
      </c>
      <c r="D95" t="s">
        <v>15</v>
      </c>
      <c r="E95" t="s">
        <v>35</v>
      </c>
      <c r="F95" t="s">
        <v>12</v>
      </c>
      <c r="G95">
        <v>1</v>
      </c>
      <c r="H95">
        <v>6931</v>
      </c>
      <c r="I95">
        <f t="shared" si="2"/>
        <v>6931</v>
      </c>
      <c r="J95" t="str">
        <f t="shared" si="3"/>
        <v>Normal</v>
      </c>
      <c r="K95" t="str">
        <v>2024-05</v>
      </c>
      <c r="L95" t="str">
        <v>May</v>
      </c>
    </row>
    <row r="96" spans="1:21" x14ac:dyDescent="0.25">
      <c r="A96">
        <v>1095</v>
      </c>
      <c r="B96" t="s">
        <v>94</v>
      </c>
      <c r="C96" t="s">
        <v>19</v>
      </c>
      <c r="D96" t="s">
        <v>10</v>
      </c>
      <c r="E96" t="s">
        <v>32</v>
      </c>
      <c r="F96" t="s">
        <v>12</v>
      </c>
      <c r="G96">
        <v>6</v>
      </c>
      <c r="H96">
        <v>1691</v>
      </c>
      <c r="I96">
        <f t="shared" si="2"/>
        <v>10146</v>
      </c>
      <c r="J96" t="str">
        <f t="shared" si="3"/>
        <v>Normal</v>
      </c>
      <c r="K96" t="str">
        <v>2024-06</v>
      </c>
      <c r="L96" t="str">
        <v>June</v>
      </c>
    </row>
    <row r="97" spans="1:27" x14ac:dyDescent="0.25">
      <c r="A97">
        <v>1096</v>
      </c>
      <c r="B97" t="s">
        <v>104</v>
      </c>
      <c r="C97" t="s">
        <v>19</v>
      </c>
      <c r="D97" t="s">
        <v>49</v>
      </c>
      <c r="E97" t="s">
        <v>20</v>
      </c>
      <c r="F97" t="s">
        <v>17</v>
      </c>
      <c r="G97">
        <v>4</v>
      </c>
      <c r="H97">
        <v>48855</v>
      </c>
      <c r="I97">
        <f t="shared" si="2"/>
        <v>195420</v>
      </c>
      <c r="J97" t="str">
        <f t="shared" si="3"/>
        <v>High</v>
      </c>
      <c r="K97" t="str">
        <v>2024-02</v>
      </c>
      <c r="L97" t="str">
        <v>February</v>
      </c>
    </row>
    <row r="98" spans="1:27" x14ac:dyDescent="0.25">
      <c r="A98">
        <v>1097</v>
      </c>
      <c r="B98" t="s">
        <v>52</v>
      </c>
      <c r="C98" t="s">
        <v>19</v>
      </c>
      <c r="D98" t="s">
        <v>10</v>
      </c>
      <c r="E98" t="s">
        <v>20</v>
      </c>
      <c r="F98" t="s">
        <v>17</v>
      </c>
      <c r="G98">
        <v>5</v>
      </c>
      <c r="H98">
        <v>52433</v>
      </c>
      <c r="I98">
        <f t="shared" si="2"/>
        <v>262165</v>
      </c>
      <c r="J98" t="str">
        <f t="shared" si="3"/>
        <v>High</v>
      </c>
      <c r="K98" t="str">
        <v>2024-02</v>
      </c>
      <c r="L98" t="str">
        <v>February</v>
      </c>
    </row>
    <row r="99" spans="1:27" x14ac:dyDescent="0.25">
      <c r="A99">
        <v>1098</v>
      </c>
      <c r="B99" t="s">
        <v>80</v>
      </c>
      <c r="C99" t="s">
        <v>14</v>
      </c>
      <c r="D99" t="s">
        <v>49</v>
      </c>
      <c r="E99" t="s">
        <v>25</v>
      </c>
      <c r="F99" t="s">
        <v>17</v>
      </c>
      <c r="G99">
        <v>3</v>
      </c>
      <c r="H99">
        <v>18257</v>
      </c>
      <c r="I99">
        <f t="shared" si="2"/>
        <v>54771</v>
      </c>
      <c r="J99" t="str">
        <f t="shared" si="3"/>
        <v>Normal</v>
      </c>
      <c r="K99" t="str">
        <v>2024-06</v>
      </c>
      <c r="L99" t="str">
        <v>June</v>
      </c>
    </row>
    <row r="100" spans="1:27" x14ac:dyDescent="0.25">
      <c r="A100">
        <v>1099</v>
      </c>
      <c r="B100" t="s">
        <v>105</v>
      </c>
      <c r="C100" t="s">
        <v>27</v>
      </c>
      <c r="D100" t="s">
        <v>49</v>
      </c>
      <c r="E100" t="s">
        <v>11</v>
      </c>
      <c r="F100" t="s">
        <v>12</v>
      </c>
      <c r="G100">
        <v>5</v>
      </c>
      <c r="H100">
        <v>26315</v>
      </c>
      <c r="I100">
        <f t="shared" si="2"/>
        <v>131575</v>
      </c>
      <c r="J100" t="str">
        <f t="shared" si="3"/>
        <v>High</v>
      </c>
      <c r="K100" t="str">
        <v>2024-03</v>
      </c>
      <c r="L100" t="str">
        <v>March</v>
      </c>
    </row>
    <row r="101" spans="1:27" x14ac:dyDescent="0.25">
      <c r="A101">
        <v>1100</v>
      </c>
      <c r="B101" t="s">
        <v>106</v>
      </c>
      <c r="C101" t="s">
        <v>19</v>
      </c>
      <c r="D101" t="s">
        <v>10</v>
      </c>
      <c r="E101" t="s">
        <v>32</v>
      </c>
      <c r="F101" t="s">
        <v>12</v>
      </c>
      <c r="G101">
        <v>9</v>
      </c>
      <c r="H101">
        <v>1661</v>
      </c>
      <c r="I101">
        <f t="shared" si="2"/>
        <v>14949</v>
      </c>
      <c r="J101" t="str">
        <f t="shared" si="3"/>
        <v>Normal</v>
      </c>
      <c r="K101" t="str">
        <v>2024-01</v>
      </c>
      <c r="L101" t="str">
        <v>January</v>
      </c>
    </row>
    <row r="102" spans="1:27" x14ac:dyDescent="0.25">
      <c r="A102">
        <v>1101</v>
      </c>
      <c r="B102" t="s">
        <v>107</v>
      </c>
      <c r="C102" t="s">
        <v>14</v>
      </c>
      <c r="D102" t="s">
        <v>49</v>
      </c>
      <c r="E102" t="s">
        <v>23</v>
      </c>
      <c r="F102" t="s">
        <v>17</v>
      </c>
      <c r="G102">
        <v>1</v>
      </c>
      <c r="H102">
        <v>30285</v>
      </c>
      <c r="I102">
        <f t="shared" si="2"/>
        <v>30285</v>
      </c>
      <c r="J102" t="str">
        <f t="shared" si="3"/>
        <v>Normal</v>
      </c>
      <c r="K102" t="str">
        <v>2024-03</v>
      </c>
      <c r="L102" t="str">
        <v>March</v>
      </c>
      <c r="T102" s="3" t="s">
        <v>201</v>
      </c>
    </row>
    <row r="103" spans="1:27" x14ac:dyDescent="0.25">
      <c r="A103">
        <v>1102</v>
      </c>
      <c r="B103" t="s">
        <v>108</v>
      </c>
      <c r="C103" t="s">
        <v>14</v>
      </c>
      <c r="D103" t="s">
        <v>31</v>
      </c>
      <c r="E103" t="s">
        <v>20</v>
      </c>
      <c r="F103" t="s">
        <v>17</v>
      </c>
      <c r="G103">
        <v>1</v>
      </c>
      <c r="H103">
        <v>48142</v>
      </c>
      <c r="I103">
        <f t="shared" si="2"/>
        <v>48142</v>
      </c>
      <c r="J103" t="str">
        <f t="shared" si="3"/>
        <v>Normal</v>
      </c>
      <c r="K103" t="str">
        <v>2024-06</v>
      </c>
      <c r="L103" t="str">
        <v>June</v>
      </c>
    </row>
    <row r="104" spans="1:27" x14ac:dyDescent="0.25">
      <c r="A104">
        <v>1103</v>
      </c>
      <c r="B104" t="s">
        <v>109</v>
      </c>
      <c r="C104" t="s">
        <v>14</v>
      </c>
      <c r="D104" t="s">
        <v>10</v>
      </c>
      <c r="E104" t="s">
        <v>32</v>
      </c>
      <c r="F104" t="s">
        <v>12</v>
      </c>
      <c r="G104">
        <v>8</v>
      </c>
      <c r="H104">
        <v>3877</v>
      </c>
      <c r="I104">
        <f t="shared" si="2"/>
        <v>31016</v>
      </c>
      <c r="J104" t="str">
        <f t="shared" si="3"/>
        <v>Normal</v>
      </c>
      <c r="K104" t="str">
        <v>2024-05</v>
      </c>
      <c r="L104" t="str">
        <v>May</v>
      </c>
    </row>
    <row r="105" spans="1:27" x14ac:dyDescent="0.25">
      <c r="A105">
        <v>1104</v>
      </c>
      <c r="B105" t="s">
        <v>110</v>
      </c>
      <c r="C105" t="s">
        <v>27</v>
      </c>
      <c r="D105" t="s">
        <v>42</v>
      </c>
      <c r="E105" t="s">
        <v>23</v>
      </c>
      <c r="F105" t="s">
        <v>17</v>
      </c>
      <c r="G105">
        <v>4</v>
      </c>
      <c r="H105">
        <v>31088</v>
      </c>
      <c r="I105">
        <f t="shared" si="2"/>
        <v>124352</v>
      </c>
      <c r="J105" t="str">
        <f t="shared" si="3"/>
        <v>High</v>
      </c>
      <c r="K105" t="str">
        <v>2024-03</v>
      </c>
      <c r="L105" t="str">
        <v>March</v>
      </c>
    </row>
    <row r="106" spans="1:27" x14ac:dyDescent="0.25">
      <c r="A106">
        <v>1105</v>
      </c>
      <c r="B106" t="s">
        <v>61</v>
      </c>
      <c r="C106" t="s">
        <v>9</v>
      </c>
      <c r="D106" t="s">
        <v>10</v>
      </c>
      <c r="E106" t="s">
        <v>23</v>
      </c>
      <c r="F106" t="s">
        <v>17</v>
      </c>
      <c r="G106">
        <v>3</v>
      </c>
      <c r="H106">
        <v>28279</v>
      </c>
      <c r="I106">
        <f t="shared" si="2"/>
        <v>84837</v>
      </c>
      <c r="J106" t="str">
        <f t="shared" si="3"/>
        <v>Normal</v>
      </c>
      <c r="K106" t="str">
        <v>2024-06</v>
      </c>
      <c r="L106" t="str">
        <v>June</v>
      </c>
      <c r="Z106" s="6" t="s">
        <v>229</v>
      </c>
      <c r="AA106" t="s">
        <v>230</v>
      </c>
    </row>
    <row r="107" spans="1:27" x14ac:dyDescent="0.25">
      <c r="A107">
        <v>1106</v>
      </c>
      <c r="B107" t="s">
        <v>111</v>
      </c>
      <c r="C107" t="s">
        <v>14</v>
      </c>
      <c r="D107" t="s">
        <v>49</v>
      </c>
      <c r="E107" t="s">
        <v>11</v>
      </c>
      <c r="F107" t="s">
        <v>12</v>
      </c>
      <c r="G107">
        <v>3</v>
      </c>
      <c r="H107">
        <v>26040</v>
      </c>
      <c r="I107">
        <f t="shared" si="2"/>
        <v>78120</v>
      </c>
      <c r="J107" t="str">
        <f t="shared" si="3"/>
        <v>Normal</v>
      </c>
      <c r="K107" t="str">
        <v>2024-06</v>
      </c>
      <c r="L107" t="str">
        <v>June</v>
      </c>
      <c r="Z107" s="7" t="s">
        <v>32</v>
      </c>
      <c r="AA107" s="19">
        <v>713888</v>
      </c>
    </row>
    <row r="108" spans="1:27" x14ac:dyDescent="0.25">
      <c r="A108">
        <v>1107</v>
      </c>
      <c r="B108" t="s">
        <v>112</v>
      </c>
      <c r="C108" t="s">
        <v>14</v>
      </c>
      <c r="D108" t="s">
        <v>15</v>
      </c>
      <c r="E108" t="s">
        <v>23</v>
      </c>
      <c r="F108" t="s">
        <v>17</v>
      </c>
      <c r="G108">
        <v>5</v>
      </c>
      <c r="H108">
        <v>28375</v>
      </c>
      <c r="I108">
        <f t="shared" si="2"/>
        <v>141875</v>
      </c>
      <c r="J108" t="str">
        <f t="shared" si="3"/>
        <v>High</v>
      </c>
      <c r="K108" t="str">
        <v>2024-05</v>
      </c>
      <c r="L108" t="str">
        <v>May</v>
      </c>
      <c r="Z108" s="7" t="s">
        <v>35</v>
      </c>
      <c r="AA108" s="19">
        <v>1367437</v>
      </c>
    </row>
    <row r="109" spans="1:27" x14ac:dyDescent="0.25">
      <c r="A109">
        <v>1108</v>
      </c>
      <c r="B109" t="s">
        <v>47</v>
      </c>
      <c r="C109" t="s">
        <v>14</v>
      </c>
      <c r="D109" t="s">
        <v>31</v>
      </c>
      <c r="E109" t="s">
        <v>23</v>
      </c>
      <c r="F109" t="s">
        <v>17</v>
      </c>
      <c r="G109">
        <v>4</v>
      </c>
      <c r="H109">
        <v>30581</v>
      </c>
      <c r="I109">
        <f t="shared" si="2"/>
        <v>122324</v>
      </c>
      <c r="J109" t="str">
        <f t="shared" si="3"/>
        <v>High</v>
      </c>
      <c r="K109" t="str">
        <v>2024-03</v>
      </c>
      <c r="L109" t="str">
        <v>March</v>
      </c>
      <c r="Z109" s="7" t="s">
        <v>20</v>
      </c>
      <c r="AA109" s="19">
        <v>13633591</v>
      </c>
    </row>
    <row r="110" spans="1:27" x14ac:dyDescent="0.25">
      <c r="A110">
        <v>1109</v>
      </c>
      <c r="B110" t="s">
        <v>92</v>
      </c>
      <c r="C110" t="s">
        <v>9</v>
      </c>
      <c r="D110" t="s">
        <v>10</v>
      </c>
      <c r="E110" t="s">
        <v>20</v>
      </c>
      <c r="F110" t="s">
        <v>17</v>
      </c>
      <c r="G110">
        <v>9</v>
      </c>
      <c r="H110">
        <v>51906</v>
      </c>
      <c r="I110">
        <f t="shared" si="2"/>
        <v>467154</v>
      </c>
      <c r="J110" t="str">
        <f t="shared" si="3"/>
        <v>High</v>
      </c>
      <c r="K110" t="str">
        <v>2024-04</v>
      </c>
      <c r="L110" t="str">
        <v>April</v>
      </c>
      <c r="Z110" s="7" t="s">
        <v>25</v>
      </c>
      <c r="AA110" s="19">
        <v>4036049</v>
      </c>
    </row>
    <row r="111" spans="1:27" x14ac:dyDescent="0.25">
      <c r="A111">
        <v>1110</v>
      </c>
      <c r="B111" t="s">
        <v>45</v>
      </c>
      <c r="C111" t="s">
        <v>19</v>
      </c>
      <c r="D111" t="s">
        <v>42</v>
      </c>
      <c r="E111" t="s">
        <v>16</v>
      </c>
      <c r="F111" t="s">
        <v>17</v>
      </c>
      <c r="G111">
        <v>6</v>
      </c>
      <c r="H111">
        <v>14066</v>
      </c>
      <c r="I111">
        <f t="shared" si="2"/>
        <v>84396</v>
      </c>
      <c r="J111" t="str">
        <f t="shared" si="3"/>
        <v>Normal</v>
      </c>
      <c r="K111" t="str">
        <v>2024-01</v>
      </c>
      <c r="L111" t="str">
        <v>January</v>
      </c>
      <c r="Z111" s="7" t="s">
        <v>16</v>
      </c>
      <c r="AA111" s="19">
        <v>3474922</v>
      </c>
    </row>
    <row r="112" spans="1:27" x14ac:dyDescent="0.25">
      <c r="A112">
        <v>1111</v>
      </c>
      <c r="B112" t="s">
        <v>26</v>
      </c>
      <c r="C112" t="s">
        <v>19</v>
      </c>
      <c r="D112" t="s">
        <v>31</v>
      </c>
      <c r="E112" t="s">
        <v>16</v>
      </c>
      <c r="F112" t="s">
        <v>17</v>
      </c>
      <c r="G112">
        <v>2</v>
      </c>
      <c r="H112">
        <v>14636</v>
      </c>
      <c r="I112">
        <f t="shared" si="2"/>
        <v>29272</v>
      </c>
      <c r="J112" t="str">
        <f t="shared" si="3"/>
        <v>Normal</v>
      </c>
      <c r="K112" t="str">
        <v>2024-06</v>
      </c>
      <c r="L112" t="str">
        <v>June</v>
      </c>
      <c r="Z112" s="7" t="s">
        <v>11</v>
      </c>
      <c r="AA112" s="19">
        <v>5835319</v>
      </c>
    </row>
    <row r="113" spans="1:27" x14ac:dyDescent="0.25">
      <c r="A113">
        <v>1112</v>
      </c>
      <c r="B113" t="s">
        <v>113</v>
      </c>
      <c r="C113" t="s">
        <v>14</v>
      </c>
      <c r="D113" t="s">
        <v>10</v>
      </c>
      <c r="E113" t="s">
        <v>16</v>
      </c>
      <c r="F113" t="s">
        <v>17</v>
      </c>
      <c r="G113">
        <v>8</v>
      </c>
      <c r="H113">
        <v>14168</v>
      </c>
      <c r="I113">
        <f t="shared" si="2"/>
        <v>113344</v>
      </c>
      <c r="J113" t="str">
        <f t="shared" si="3"/>
        <v>High</v>
      </c>
      <c r="K113" t="str">
        <v>2024-04</v>
      </c>
      <c r="L113" t="str">
        <v>April</v>
      </c>
      <c r="Z113" s="7" t="s">
        <v>23</v>
      </c>
      <c r="AA113" s="19">
        <v>6752074</v>
      </c>
    </row>
    <row r="114" spans="1:27" x14ac:dyDescent="0.25">
      <c r="A114">
        <v>1113</v>
      </c>
      <c r="B114" t="s">
        <v>69</v>
      </c>
      <c r="C114" t="s">
        <v>9</v>
      </c>
      <c r="D114" t="s">
        <v>31</v>
      </c>
      <c r="E114" t="s">
        <v>32</v>
      </c>
      <c r="F114" t="s">
        <v>12</v>
      </c>
      <c r="G114">
        <v>4</v>
      </c>
      <c r="H114">
        <v>458</v>
      </c>
      <c r="I114">
        <f t="shared" si="2"/>
        <v>1832</v>
      </c>
      <c r="J114" t="str">
        <f t="shared" si="3"/>
        <v>Normal</v>
      </c>
      <c r="K114" t="str">
        <v>2024-05</v>
      </c>
      <c r="L114" t="str">
        <v>May</v>
      </c>
      <c r="Z114" s="7" t="s">
        <v>228</v>
      </c>
      <c r="AA114" s="19">
        <v>35813280</v>
      </c>
    </row>
    <row r="115" spans="1:27" x14ac:dyDescent="0.25">
      <c r="A115">
        <v>1114</v>
      </c>
      <c r="B115" t="s">
        <v>114</v>
      </c>
      <c r="C115" t="s">
        <v>19</v>
      </c>
      <c r="D115" t="s">
        <v>15</v>
      </c>
      <c r="E115" t="s">
        <v>23</v>
      </c>
      <c r="F115" t="s">
        <v>17</v>
      </c>
      <c r="G115">
        <v>5</v>
      </c>
      <c r="H115">
        <v>30402</v>
      </c>
      <c r="I115">
        <f t="shared" si="2"/>
        <v>152010</v>
      </c>
      <c r="J115" t="str">
        <f t="shared" si="3"/>
        <v>High</v>
      </c>
      <c r="K115" t="str">
        <v>2024-06</v>
      </c>
      <c r="L115" t="str">
        <v>June</v>
      </c>
    </row>
    <row r="116" spans="1:27" x14ac:dyDescent="0.25">
      <c r="A116">
        <v>1115</v>
      </c>
      <c r="B116" t="s">
        <v>74</v>
      </c>
      <c r="C116" t="s">
        <v>9</v>
      </c>
      <c r="D116" t="s">
        <v>29</v>
      </c>
      <c r="E116" t="s">
        <v>25</v>
      </c>
      <c r="F116" t="s">
        <v>17</v>
      </c>
      <c r="G116">
        <v>4</v>
      </c>
      <c r="H116">
        <v>18261</v>
      </c>
      <c r="I116">
        <f t="shared" si="2"/>
        <v>73044</v>
      </c>
      <c r="J116" t="str">
        <f t="shared" si="3"/>
        <v>Normal</v>
      </c>
      <c r="K116" t="str">
        <v>2024-05</v>
      </c>
      <c r="L116" t="str">
        <v>May</v>
      </c>
    </row>
    <row r="117" spans="1:27" x14ac:dyDescent="0.25">
      <c r="A117">
        <v>1116</v>
      </c>
      <c r="B117" t="s">
        <v>45</v>
      </c>
      <c r="C117" t="s">
        <v>27</v>
      </c>
      <c r="D117" t="s">
        <v>31</v>
      </c>
      <c r="E117" t="s">
        <v>35</v>
      </c>
      <c r="F117" t="s">
        <v>12</v>
      </c>
      <c r="G117">
        <v>4</v>
      </c>
      <c r="H117">
        <v>5499</v>
      </c>
      <c r="I117">
        <f t="shared" si="2"/>
        <v>21996</v>
      </c>
      <c r="J117" t="str">
        <f t="shared" si="3"/>
        <v>Normal</v>
      </c>
      <c r="K117" t="str">
        <v>2024-01</v>
      </c>
      <c r="L117" t="str">
        <v>January</v>
      </c>
    </row>
    <row r="118" spans="1:27" x14ac:dyDescent="0.25">
      <c r="A118">
        <v>1117</v>
      </c>
      <c r="B118" t="s">
        <v>78</v>
      </c>
      <c r="C118" t="s">
        <v>27</v>
      </c>
      <c r="D118" t="s">
        <v>29</v>
      </c>
      <c r="E118" t="s">
        <v>25</v>
      </c>
      <c r="F118" t="s">
        <v>17</v>
      </c>
      <c r="G118">
        <v>3</v>
      </c>
      <c r="H118">
        <v>20604</v>
      </c>
      <c r="I118">
        <f t="shared" si="2"/>
        <v>61812</v>
      </c>
      <c r="J118" t="str">
        <f t="shared" si="3"/>
        <v>Normal</v>
      </c>
      <c r="K118" t="str">
        <v>2024-04</v>
      </c>
      <c r="L118" t="str">
        <v>April</v>
      </c>
    </row>
    <row r="119" spans="1:27" x14ac:dyDescent="0.25">
      <c r="A119">
        <v>1118</v>
      </c>
      <c r="B119" t="s">
        <v>115</v>
      </c>
      <c r="C119" t="s">
        <v>9</v>
      </c>
      <c r="D119" t="s">
        <v>42</v>
      </c>
      <c r="E119" t="s">
        <v>25</v>
      </c>
      <c r="F119" t="s">
        <v>17</v>
      </c>
      <c r="G119">
        <v>7</v>
      </c>
      <c r="H119">
        <v>20549</v>
      </c>
      <c r="I119">
        <f t="shared" si="2"/>
        <v>143843</v>
      </c>
      <c r="J119" t="str">
        <f t="shared" si="3"/>
        <v>High</v>
      </c>
      <c r="K119" t="str">
        <v>2024-02</v>
      </c>
      <c r="L119" t="str">
        <v>February</v>
      </c>
    </row>
    <row r="120" spans="1:27" x14ac:dyDescent="0.25">
      <c r="A120">
        <v>1119</v>
      </c>
      <c r="B120" t="s">
        <v>116</v>
      </c>
      <c r="C120" t="s">
        <v>19</v>
      </c>
      <c r="D120" t="s">
        <v>10</v>
      </c>
      <c r="E120" t="s">
        <v>20</v>
      </c>
      <c r="F120" t="s">
        <v>17</v>
      </c>
      <c r="G120">
        <v>1</v>
      </c>
      <c r="H120">
        <v>48422</v>
      </c>
      <c r="I120">
        <f t="shared" si="2"/>
        <v>48422</v>
      </c>
      <c r="J120" t="str">
        <f t="shared" si="3"/>
        <v>Normal</v>
      </c>
      <c r="K120" t="str">
        <v>2024-02</v>
      </c>
      <c r="L120" t="str">
        <v>February</v>
      </c>
      <c r="T120" s="3" t="s">
        <v>202</v>
      </c>
    </row>
    <row r="121" spans="1:27" x14ac:dyDescent="0.25">
      <c r="A121">
        <v>1120</v>
      </c>
      <c r="B121" t="s">
        <v>117</v>
      </c>
      <c r="C121" t="s">
        <v>27</v>
      </c>
      <c r="D121" t="s">
        <v>15</v>
      </c>
      <c r="E121" t="s">
        <v>35</v>
      </c>
      <c r="F121" t="s">
        <v>12</v>
      </c>
      <c r="G121">
        <v>2</v>
      </c>
      <c r="H121">
        <v>8932</v>
      </c>
      <c r="I121">
        <f t="shared" si="2"/>
        <v>17864</v>
      </c>
      <c r="J121" t="str">
        <f t="shared" si="3"/>
        <v>Normal</v>
      </c>
      <c r="K121" t="str">
        <v>2024-04</v>
      </c>
      <c r="L121" t="str">
        <v>April</v>
      </c>
    </row>
    <row r="122" spans="1:27" x14ac:dyDescent="0.25">
      <c r="A122">
        <v>1121</v>
      </c>
      <c r="B122" t="s">
        <v>79</v>
      </c>
      <c r="C122" t="s">
        <v>9</v>
      </c>
      <c r="D122" t="s">
        <v>10</v>
      </c>
      <c r="E122" t="s">
        <v>20</v>
      </c>
      <c r="F122" t="s">
        <v>17</v>
      </c>
      <c r="G122">
        <v>6</v>
      </c>
      <c r="H122">
        <v>50510</v>
      </c>
      <c r="I122">
        <f t="shared" si="2"/>
        <v>303060</v>
      </c>
      <c r="J122" t="str">
        <f t="shared" si="3"/>
        <v>High</v>
      </c>
      <c r="K122" t="str">
        <v>2024-06</v>
      </c>
      <c r="L122" t="str">
        <v>June</v>
      </c>
    </row>
    <row r="123" spans="1:27" x14ac:dyDescent="0.25">
      <c r="A123">
        <v>1122</v>
      </c>
      <c r="B123" t="s">
        <v>21</v>
      </c>
      <c r="C123" t="s">
        <v>9</v>
      </c>
      <c r="D123" t="s">
        <v>42</v>
      </c>
      <c r="E123" t="s">
        <v>32</v>
      </c>
      <c r="F123" t="s">
        <v>12</v>
      </c>
      <c r="G123">
        <v>8</v>
      </c>
      <c r="H123">
        <v>2009</v>
      </c>
      <c r="I123">
        <f t="shared" si="2"/>
        <v>16072</v>
      </c>
      <c r="J123" t="str">
        <f t="shared" si="3"/>
        <v>Normal</v>
      </c>
      <c r="K123" t="str">
        <v>2024-04</v>
      </c>
      <c r="L123" t="str">
        <v>April</v>
      </c>
    </row>
    <row r="124" spans="1:27" x14ac:dyDescent="0.25">
      <c r="A124">
        <v>1123</v>
      </c>
      <c r="B124" t="s">
        <v>118</v>
      </c>
      <c r="C124" t="s">
        <v>27</v>
      </c>
      <c r="D124" t="s">
        <v>42</v>
      </c>
      <c r="E124" t="s">
        <v>11</v>
      </c>
      <c r="F124" t="s">
        <v>12</v>
      </c>
      <c r="G124">
        <v>7</v>
      </c>
      <c r="H124">
        <v>23153</v>
      </c>
      <c r="I124">
        <f t="shared" si="2"/>
        <v>162071</v>
      </c>
      <c r="J124" t="str">
        <f t="shared" si="3"/>
        <v>High</v>
      </c>
      <c r="K124" t="str">
        <v>2024-03</v>
      </c>
      <c r="L124" t="str">
        <v>March</v>
      </c>
    </row>
    <row r="125" spans="1:27" x14ac:dyDescent="0.25">
      <c r="A125">
        <v>1124</v>
      </c>
      <c r="B125" t="s">
        <v>8</v>
      </c>
      <c r="C125" t="s">
        <v>14</v>
      </c>
      <c r="D125" t="s">
        <v>15</v>
      </c>
      <c r="E125" t="s">
        <v>11</v>
      </c>
      <c r="F125" t="s">
        <v>12</v>
      </c>
      <c r="G125">
        <v>4</v>
      </c>
      <c r="H125">
        <v>23282</v>
      </c>
      <c r="I125">
        <f t="shared" si="2"/>
        <v>93128</v>
      </c>
      <c r="J125" t="str">
        <f t="shared" si="3"/>
        <v>Normal</v>
      </c>
      <c r="K125" t="str">
        <v>2024-01</v>
      </c>
      <c r="L125" t="str">
        <v>January</v>
      </c>
    </row>
    <row r="126" spans="1:27" x14ac:dyDescent="0.25">
      <c r="A126">
        <v>1125</v>
      </c>
      <c r="B126" t="s">
        <v>53</v>
      </c>
      <c r="C126" t="s">
        <v>19</v>
      </c>
      <c r="D126" t="s">
        <v>42</v>
      </c>
      <c r="E126" t="s">
        <v>25</v>
      </c>
      <c r="F126" t="s">
        <v>17</v>
      </c>
      <c r="G126">
        <v>7</v>
      </c>
      <c r="H126">
        <v>18175</v>
      </c>
      <c r="I126">
        <f t="shared" si="2"/>
        <v>127225</v>
      </c>
      <c r="J126" t="str">
        <f t="shared" si="3"/>
        <v>High</v>
      </c>
      <c r="K126" t="str">
        <v>2024-06</v>
      </c>
      <c r="L126" t="str">
        <v>June</v>
      </c>
    </row>
    <row r="127" spans="1:27" x14ac:dyDescent="0.25">
      <c r="A127">
        <v>1126</v>
      </c>
      <c r="B127" t="s">
        <v>119</v>
      </c>
      <c r="C127" t="s">
        <v>19</v>
      </c>
      <c r="D127" t="s">
        <v>42</v>
      </c>
      <c r="E127" t="s">
        <v>25</v>
      </c>
      <c r="F127" t="s">
        <v>17</v>
      </c>
      <c r="G127">
        <v>3</v>
      </c>
      <c r="H127">
        <v>19157</v>
      </c>
      <c r="I127">
        <f t="shared" si="2"/>
        <v>57471</v>
      </c>
      <c r="J127" t="str">
        <f t="shared" si="3"/>
        <v>Normal</v>
      </c>
      <c r="K127" t="str">
        <v>2024-04</v>
      </c>
      <c r="L127" t="str">
        <v>April</v>
      </c>
    </row>
    <row r="128" spans="1:27" x14ac:dyDescent="0.25">
      <c r="A128">
        <v>1127</v>
      </c>
      <c r="B128" t="s">
        <v>120</v>
      </c>
      <c r="C128" t="s">
        <v>27</v>
      </c>
      <c r="D128" t="s">
        <v>49</v>
      </c>
      <c r="E128" t="s">
        <v>23</v>
      </c>
      <c r="F128" t="s">
        <v>17</v>
      </c>
      <c r="G128">
        <v>9</v>
      </c>
      <c r="H128">
        <v>30097</v>
      </c>
      <c r="I128">
        <f t="shared" si="2"/>
        <v>270873</v>
      </c>
      <c r="J128" t="str">
        <f t="shared" si="3"/>
        <v>High</v>
      </c>
      <c r="K128" t="str">
        <v>2024-04</v>
      </c>
      <c r="L128" t="str">
        <v>April</v>
      </c>
    </row>
    <row r="129" spans="1:24" x14ac:dyDescent="0.25">
      <c r="A129">
        <v>1128</v>
      </c>
      <c r="B129" t="s">
        <v>24</v>
      </c>
      <c r="C129" t="s">
        <v>9</v>
      </c>
      <c r="D129" t="s">
        <v>31</v>
      </c>
      <c r="E129" t="s">
        <v>35</v>
      </c>
      <c r="F129" t="s">
        <v>12</v>
      </c>
      <c r="G129">
        <v>5</v>
      </c>
      <c r="H129">
        <v>8637</v>
      </c>
      <c r="I129">
        <f t="shared" si="2"/>
        <v>43185</v>
      </c>
      <c r="J129" t="str">
        <f t="shared" si="3"/>
        <v>Normal</v>
      </c>
      <c r="K129" t="str">
        <v>2024-03</v>
      </c>
      <c r="L129" t="str">
        <v>March</v>
      </c>
    </row>
    <row r="130" spans="1:24" x14ac:dyDescent="0.25">
      <c r="A130">
        <v>1129</v>
      </c>
      <c r="B130" t="s">
        <v>83</v>
      </c>
      <c r="C130" t="s">
        <v>9</v>
      </c>
      <c r="D130" t="s">
        <v>10</v>
      </c>
      <c r="E130" t="s">
        <v>23</v>
      </c>
      <c r="F130" t="s">
        <v>17</v>
      </c>
      <c r="G130">
        <v>10</v>
      </c>
      <c r="H130">
        <v>32133</v>
      </c>
      <c r="I130">
        <f t="shared" si="2"/>
        <v>321330</v>
      </c>
      <c r="J130" t="str">
        <f t="shared" si="3"/>
        <v>High</v>
      </c>
      <c r="K130" t="str">
        <v>2024-03</v>
      </c>
      <c r="L130" t="str">
        <v>March</v>
      </c>
    </row>
    <row r="131" spans="1:24" x14ac:dyDescent="0.25">
      <c r="A131">
        <v>1130</v>
      </c>
      <c r="B131" t="s">
        <v>76</v>
      </c>
      <c r="C131" t="s">
        <v>14</v>
      </c>
      <c r="D131" t="s">
        <v>10</v>
      </c>
      <c r="E131" t="s">
        <v>23</v>
      </c>
      <c r="F131" t="s">
        <v>17</v>
      </c>
      <c r="G131">
        <v>2</v>
      </c>
      <c r="H131">
        <v>32953</v>
      </c>
      <c r="I131">
        <f t="shared" ref="I131:I194" si="4">H131*G131</f>
        <v>65906</v>
      </c>
      <c r="J131" t="str">
        <f t="shared" ref="J131:J194" si="5">IF(I131&gt;100000,"High","Normal")</f>
        <v>Normal</v>
      </c>
      <c r="K131" t="str">
        <v>2024-05</v>
      </c>
      <c r="L131" t="str">
        <v>May</v>
      </c>
    </row>
    <row r="132" spans="1:24" x14ac:dyDescent="0.25">
      <c r="A132">
        <v>1131</v>
      </c>
      <c r="B132" t="s">
        <v>121</v>
      </c>
      <c r="C132" t="s">
        <v>14</v>
      </c>
      <c r="D132" t="s">
        <v>42</v>
      </c>
      <c r="E132" t="s">
        <v>25</v>
      </c>
      <c r="F132" t="s">
        <v>17</v>
      </c>
      <c r="G132">
        <v>4</v>
      </c>
      <c r="H132">
        <v>20816</v>
      </c>
      <c r="I132">
        <f t="shared" si="4"/>
        <v>83264</v>
      </c>
      <c r="J132" t="str">
        <f t="shared" si="5"/>
        <v>Normal</v>
      </c>
      <c r="K132" t="str">
        <v>2024-05</v>
      </c>
      <c r="L132" t="str">
        <v>May</v>
      </c>
    </row>
    <row r="133" spans="1:24" x14ac:dyDescent="0.25">
      <c r="A133">
        <v>1132</v>
      </c>
      <c r="B133" t="s">
        <v>122</v>
      </c>
      <c r="C133" t="s">
        <v>19</v>
      </c>
      <c r="D133" t="s">
        <v>42</v>
      </c>
      <c r="E133" t="s">
        <v>11</v>
      </c>
      <c r="F133" t="s">
        <v>12</v>
      </c>
      <c r="G133">
        <v>6</v>
      </c>
      <c r="H133">
        <v>25241</v>
      </c>
      <c r="I133">
        <f t="shared" si="4"/>
        <v>151446</v>
      </c>
      <c r="J133" t="str">
        <f t="shared" si="5"/>
        <v>High</v>
      </c>
      <c r="K133" t="str">
        <v>2024-04</v>
      </c>
      <c r="L133" t="str">
        <v>April</v>
      </c>
    </row>
    <row r="134" spans="1:24" x14ac:dyDescent="0.25">
      <c r="A134">
        <v>1133</v>
      </c>
      <c r="B134" t="s">
        <v>123</v>
      </c>
      <c r="C134" t="s">
        <v>27</v>
      </c>
      <c r="D134" t="s">
        <v>49</v>
      </c>
      <c r="E134" t="s">
        <v>23</v>
      </c>
      <c r="F134" t="s">
        <v>17</v>
      </c>
      <c r="G134">
        <v>7</v>
      </c>
      <c r="H134">
        <v>30358</v>
      </c>
      <c r="I134">
        <f t="shared" si="4"/>
        <v>212506</v>
      </c>
      <c r="J134" t="str">
        <f t="shared" si="5"/>
        <v>High</v>
      </c>
      <c r="K134" t="str">
        <v>2024-03</v>
      </c>
      <c r="L134" t="str">
        <v>March</v>
      </c>
    </row>
    <row r="135" spans="1:24" x14ac:dyDescent="0.25">
      <c r="A135">
        <v>1134</v>
      </c>
      <c r="B135" t="s">
        <v>82</v>
      </c>
      <c r="C135" t="s">
        <v>27</v>
      </c>
      <c r="D135" t="s">
        <v>29</v>
      </c>
      <c r="E135" t="s">
        <v>23</v>
      </c>
      <c r="F135" t="s">
        <v>17</v>
      </c>
      <c r="G135">
        <v>4</v>
      </c>
      <c r="H135">
        <v>29437</v>
      </c>
      <c r="I135">
        <f t="shared" si="4"/>
        <v>117748</v>
      </c>
      <c r="J135" t="str">
        <f t="shared" si="5"/>
        <v>High</v>
      </c>
      <c r="K135" t="str">
        <v>2024-05</v>
      </c>
      <c r="L135" t="str">
        <v>May</v>
      </c>
    </row>
    <row r="136" spans="1:24" x14ac:dyDescent="0.25">
      <c r="A136">
        <v>1135</v>
      </c>
      <c r="B136" t="s">
        <v>89</v>
      </c>
      <c r="C136" t="s">
        <v>14</v>
      </c>
      <c r="D136" t="s">
        <v>15</v>
      </c>
      <c r="E136" t="s">
        <v>23</v>
      </c>
      <c r="F136" t="s">
        <v>17</v>
      </c>
      <c r="G136">
        <v>8</v>
      </c>
      <c r="H136">
        <v>28144</v>
      </c>
      <c r="I136">
        <f t="shared" si="4"/>
        <v>225152</v>
      </c>
      <c r="J136" t="str">
        <f t="shared" si="5"/>
        <v>High</v>
      </c>
      <c r="K136" t="str">
        <v>2024-01</v>
      </c>
      <c r="L136" t="str">
        <v>January</v>
      </c>
    </row>
    <row r="137" spans="1:24" x14ac:dyDescent="0.25">
      <c r="A137">
        <v>1136</v>
      </c>
      <c r="B137" t="s">
        <v>124</v>
      </c>
      <c r="C137" t="s">
        <v>9</v>
      </c>
      <c r="D137" t="s">
        <v>49</v>
      </c>
      <c r="E137" t="s">
        <v>23</v>
      </c>
      <c r="F137" t="s">
        <v>17</v>
      </c>
      <c r="G137">
        <v>4</v>
      </c>
      <c r="H137">
        <v>28918</v>
      </c>
      <c r="I137">
        <f t="shared" si="4"/>
        <v>115672</v>
      </c>
      <c r="J137" t="str">
        <f t="shared" si="5"/>
        <v>High</v>
      </c>
      <c r="K137" t="str">
        <v>2024-01</v>
      </c>
      <c r="L137" t="str">
        <v>January</v>
      </c>
    </row>
    <row r="138" spans="1:24" x14ac:dyDescent="0.25">
      <c r="A138">
        <v>1137</v>
      </c>
      <c r="B138" t="s">
        <v>125</v>
      </c>
      <c r="C138" t="s">
        <v>27</v>
      </c>
      <c r="D138" t="s">
        <v>42</v>
      </c>
      <c r="E138" t="s">
        <v>32</v>
      </c>
      <c r="F138" t="s">
        <v>12</v>
      </c>
      <c r="G138">
        <v>8</v>
      </c>
      <c r="H138">
        <v>2842</v>
      </c>
      <c r="I138">
        <f t="shared" si="4"/>
        <v>22736</v>
      </c>
      <c r="J138" t="str">
        <f t="shared" si="5"/>
        <v>Normal</v>
      </c>
      <c r="K138" t="str">
        <v>2024-05</v>
      </c>
      <c r="L138" t="str">
        <v>May</v>
      </c>
      <c r="T138" s="3" t="s">
        <v>203</v>
      </c>
    </row>
    <row r="139" spans="1:24" x14ac:dyDescent="0.25">
      <c r="A139">
        <v>1138</v>
      </c>
      <c r="B139" t="s">
        <v>126</v>
      </c>
      <c r="C139" t="s">
        <v>19</v>
      </c>
      <c r="D139" t="s">
        <v>49</v>
      </c>
      <c r="E139" t="s">
        <v>23</v>
      </c>
      <c r="F139" t="s">
        <v>17</v>
      </c>
      <c r="G139">
        <v>3</v>
      </c>
      <c r="H139">
        <v>31266</v>
      </c>
      <c r="I139">
        <f t="shared" si="4"/>
        <v>93798</v>
      </c>
      <c r="J139" t="str">
        <f t="shared" si="5"/>
        <v>Normal</v>
      </c>
      <c r="K139" t="str">
        <v>2024-04</v>
      </c>
      <c r="L139" t="str">
        <v>April</v>
      </c>
    </row>
    <row r="140" spans="1:24" x14ac:dyDescent="0.25">
      <c r="A140">
        <v>1139</v>
      </c>
      <c r="B140" t="s">
        <v>127</v>
      </c>
      <c r="C140" t="s">
        <v>9</v>
      </c>
      <c r="D140" t="s">
        <v>49</v>
      </c>
      <c r="E140" t="s">
        <v>11</v>
      </c>
      <c r="F140" t="s">
        <v>12</v>
      </c>
      <c r="G140">
        <v>4</v>
      </c>
      <c r="H140">
        <v>27203</v>
      </c>
      <c r="I140">
        <f t="shared" si="4"/>
        <v>108812</v>
      </c>
      <c r="J140" t="str">
        <f t="shared" si="5"/>
        <v>High</v>
      </c>
      <c r="K140" t="str">
        <v>2024-01</v>
      </c>
      <c r="L140" t="str">
        <v>January</v>
      </c>
    </row>
    <row r="141" spans="1:24" ht="15.75" x14ac:dyDescent="0.25">
      <c r="A141">
        <v>1140</v>
      </c>
      <c r="B141" t="s">
        <v>67</v>
      </c>
      <c r="C141" t="s">
        <v>9</v>
      </c>
      <c r="D141" t="s">
        <v>15</v>
      </c>
      <c r="E141" t="s">
        <v>25</v>
      </c>
      <c r="F141" t="s">
        <v>17</v>
      </c>
      <c r="G141">
        <v>8</v>
      </c>
      <c r="H141">
        <v>20253</v>
      </c>
      <c r="I141">
        <f t="shared" si="4"/>
        <v>162024</v>
      </c>
      <c r="J141" t="str">
        <f t="shared" si="5"/>
        <v>High</v>
      </c>
      <c r="K141" t="str">
        <v>2024-06</v>
      </c>
      <c r="L141" t="str">
        <v>June</v>
      </c>
      <c r="T141" s="8" t="s">
        <v>231</v>
      </c>
      <c r="V141" s="8" t="s">
        <v>238</v>
      </c>
      <c r="X141" s="8" t="s">
        <v>217</v>
      </c>
    </row>
    <row r="142" spans="1:24" x14ac:dyDescent="0.25">
      <c r="A142">
        <v>1141</v>
      </c>
      <c r="B142" t="s">
        <v>115</v>
      </c>
      <c r="C142" t="s">
        <v>27</v>
      </c>
      <c r="D142" t="s">
        <v>42</v>
      </c>
      <c r="E142" t="s">
        <v>20</v>
      </c>
      <c r="F142" t="s">
        <v>17</v>
      </c>
      <c r="G142">
        <v>10</v>
      </c>
      <c r="H142">
        <v>52175</v>
      </c>
      <c r="I142">
        <f t="shared" si="4"/>
        <v>521750</v>
      </c>
      <c r="J142" t="str">
        <f t="shared" si="5"/>
        <v>High</v>
      </c>
      <c r="K142" t="str">
        <v>2024-02</v>
      </c>
      <c r="L142" t="str">
        <v>February</v>
      </c>
      <c r="T142" s="9">
        <v>35813280</v>
      </c>
      <c r="V142" s="9">
        <v>119377.60000000001</v>
      </c>
      <c r="X142" s="9">
        <v>300</v>
      </c>
    </row>
    <row r="143" spans="1:24" x14ac:dyDescent="0.25">
      <c r="A143">
        <v>1142</v>
      </c>
      <c r="B143" t="s">
        <v>128</v>
      </c>
      <c r="C143" t="s">
        <v>9</v>
      </c>
      <c r="D143" t="s">
        <v>31</v>
      </c>
      <c r="E143" t="s">
        <v>25</v>
      </c>
      <c r="F143" t="s">
        <v>17</v>
      </c>
      <c r="G143">
        <v>1</v>
      </c>
      <c r="H143">
        <v>18999</v>
      </c>
      <c r="I143">
        <f t="shared" si="4"/>
        <v>18999</v>
      </c>
      <c r="J143" t="str">
        <f t="shared" si="5"/>
        <v>Normal</v>
      </c>
      <c r="K143" t="str">
        <v>2024-02</v>
      </c>
      <c r="L143" t="str">
        <v>February</v>
      </c>
    </row>
    <row r="144" spans="1:24" x14ac:dyDescent="0.25">
      <c r="A144">
        <v>1143</v>
      </c>
      <c r="B144" t="s">
        <v>101</v>
      </c>
      <c r="C144" t="s">
        <v>19</v>
      </c>
      <c r="D144" t="s">
        <v>10</v>
      </c>
      <c r="E144" t="s">
        <v>32</v>
      </c>
      <c r="F144" t="s">
        <v>12</v>
      </c>
      <c r="G144">
        <v>5</v>
      </c>
      <c r="H144">
        <v>143</v>
      </c>
      <c r="I144">
        <f t="shared" si="4"/>
        <v>715</v>
      </c>
      <c r="J144" t="str">
        <f t="shared" si="5"/>
        <v>Normal</v>
      </c>
      <c r="K144" t="str">
        <v>2024-05</v>
      </c>
      <c r="L144" t="str">
        <v>May</v>
      </c>
    </row>
    <row r="145" spans="1:20" x14ac:dyDescent="0.25">
      <c r="A145">
        <v>1144</v>
      </c>
      <c r="B145" t="s">
        <v>33</v>
      </c>
      <c r="C145" t="s">
        <v>27</v>
      </c>
      <c r="D145" t="s">
        <v>42</v>
      </c>
      <c r="E145" t="s">
        <v>32</v>
      </c>
      <c r="F145" t="s">
        <v>12</v>
      </c>
      <c r="G145">
        <v>9</v>
      </c>
      <c r="H145">
        <v>2185</v>
      </c>
      <c r="I145">
        <f t="shared" si="4"/>
        <v>19665</v>
      </c>
      <c r="J145" t="str">
        <f t="shared" si="5"/>
        <v>Normal</v>
      </c>
      <c r="K145" t="str">
        <v>2024-06</v>
      </c>
      <c r="L145" t="str">
        <v>June</v>
      </c>
      <c r="T145" s="3"/>
    </row>
    <row r="146" spans="1:20" x14ac:dyDescent="0.25">
      <c r="A146">
        <v>1145</v>
      </c>
      <c r="B146" t="s">
        <v>93</v>
      </c>
      <c r="C146" t="s">
        <v>14</v>
      </c>
      <c r="D146" t="s">
        <v>10</v>
      </c>
      <c r="E146" t="s">
        <v>32</v>
      </c>
      <c r="F146" t="s">
        <v>12</v>
      </c>
      <c r="G146">
        <v>5</v>
      </c>
      <c r="H146">
        <v>3341</v>
      </c>
      <c r="I146">
        <f t="shared" si="4"/>
        <v>16705</v>
      </c>
      <c r="J146" t="str">
        <f t="shared" si="5"/>
        <v>Normal</v>
      </c>
      <c r="K146" t="str">
        <v>2024-03</v>
      </c>
      <c r="L146" t="str">
        <v>March</v>
      </c>
    </row>
    <row r="147" spans="1:20" x14ac:dyDescent="0.25">
      <c r="A147">
        <v>1146</v>
      </c>
      <c r="B147" t="s">
        <v>8</v>
      </c>
      <c r="C147" t="s">
        <v>9</v>
      </c>
      <c r="D147" t="s">
        <v>42</v>
      </c>
      <c r="E147" t="s">
        <v>16</v>
      </c>
      <c r="F147" t="s">
        <v>17</v>
      </c>
      <c r="G147">
        <v>5</v>
      </c>
      <c r="H147">
        <v>16134</v>
      </c>
      <c r="I147">
        <f t="shared" si="4"/>
        <v>80670</v>
      </c>
      <c r="J147" t="str">
        <f t="shared" si="5"/>
        <v>Normal</v>
      </c>
      <c r="K147" t="str">
        <v>2024-01</v>
      </c>
      <c r="L147" t="str">
        <v>January</v>
      </c>
    </row>
    <row r="148" spans="1:20" x14ac:dyDescent="0.25">
      <c r="A148">
        <v>1147</v>
      </c>
      <c r="B148" t="s">
        <v>74</v>
      </c>
      <c r="C148" t="s">
        <v>14</v>
      </c>
      <c r="D148" t="s">
        <v>42</v>
      </c>
      <c r="E148" t="s">
        <v>32</v>
      </c>
      <c r="F148" t="s">
        <v>12</v>
      </c>
      <c r="G148">
        <v>3</v>
      </c>
      <c r="H148">
        <v>3448</v>
      </c>
      <c r="I148">
        <f t="shared" si="4"/>
        <v>10344</v>
      </c>
      <c r="J148" t="str">
        <f t="shared" si="5"/>
        <v>Normal</v>
      </c>
      <c r="K148" t="str">
        <v>2024-05</v>
      </c>
      <c r="L148" t="str">
        <v>May</v>
      </c>
    </row>
    <row r="149" spans="1:20" x14ac:dyDescent="0.25">
      <c r="A149">
        <v>1148</v>
      </c>
      <c r="B149" t="s">
        <v>62</v>
      </c>
      <c r="C149" t="s">
        <v>14</v>
      </c>
      <c r="D149" t="s">
        <v>29</v>
      </c>
      <c r="E149" t="s">
        <v>25</v>
      </c>
      <c r="F149" t="s">
        <v>17</v>
      </c>
      <c r="G149">
        <v>3</v>
      </c>
      <c r="H149">
        <v>19032</v>
      </c>
      <c r="I149">
        <f t="shared" si="4"/>
        <v>57096</v>
      </c>
      <c r="J149" t="str">
        <f t="shared" si="5"/>
        <v>Normal</v>
      </c>
      <c r="K149" t="str">
        <v>2024-01</v>
      </c>
      <c r="L149" t="str">
        <v>January</v>
      </c>
    </row>
    <row r="150" spans="1:20" x14ac:dyDescent="0.25">
      <c r="A150">
        <v>1149</v>
      </c>
      <c r="B150" t="s">
        <v>75</v>
      </c>
      <c r="C150" t="s">
        <v>9</v>
      </c>
      <c r="D150" t="s">
        <v>42</v>
      </c>
      <c r="E150" t="s">
        <v>23</v>
      </c>
      <c r="F150" t="s">
        <v>17</v>
      </c>
      <c r="G150">
        <v>3</v>
      </c>
      <c r="H150">
        <v>30472</v>
      </c>
      <c r="I150">
        <f t="shared" si="4"/>
        <v>91416</v>
      </c>
      <c r="J150" t="str">
        <f t="shared" si="5"/>
        <v>Normal</v>
      </c>
      <c r="K150" t="str">
        <v>2024-01</v>
      </c>
      <c r="L150" t="str">
        <v>January</v>
      </c>
    </row>
    <row r="151" spans="1:20" x14ac:dyDescent="0.25">
      <c r="A151">
        <v>1150</v>
      </c>
      <c r="B151" t="s">
        <v>129</v>
      </c>
      <c r="C151" t="s">
        <v>9</v>
      </c>
      <c r="D151" t="s">
        <v>42</v>
      </c>
      <c r="E151" t="s">
        <v>16</v>
      </c>
      <c r="F151" t="s">
        <v>17</v>
      </c>
      <c r="G151">
        <v>3</v>
      </c>
      <c r="H151">
        <v>16091</v>
      </c>
      <c r="I151">
        <f t="shared" si="4"/>
        <v>48273</v>
      </c>
      <c r="J151" t="str">
        <f t="shared" si="5"/>
        <v>Normal</v>
      </c>
      <c r="K151" t="str">
        <v>2024-06</v>
      </c>
      <c r="L151" t="str">
        <v>June</v>
      </c>
    </row>
    <row r="152" spans="1:20" x14ac:dyDescent="0.25">
      <c r="A152">
        <v>1151</v>
      </c>
      <c r="B152" t="s">
        <v>130</v>
      </c>
      <c r="C152" t="s">
        <v>27</v>
      </c>
      <c r="D152" t="s">
        <v>10</v>
      </c>
      <c r="E152" t="s">
        <v>11</v>
      </c>
      <c r="F152" t="s">
        <v>12</v>
      </c>
      <c r="G152">
        <v>7</v>
      </c>
      <c r="H152">
        <v>27378</v>
      </c>
      <c r="I152">
        <f t="shared" si="4"/>
        <v>191646</v>
      </c>
      <c r="J152" t="str">
        <f t="shared" si="5"/>
        <v>High</v>
      </c>
      <c r="K152" t="str">
        <v>2024-04</v>
      </c>
      <c r="L152" t="str">
        <v>April</v>
      </c>
    </row>
    <row r="153" spans="1:20" x14ac:dyDescent="0.25">
      <c r="A153">
        <v>1152</v>
      </c>
      <c r="B153" t="s">
        <v>21</v>
      </c>
      <c r="C153" t="s">
        <v>9</v>
      </c>
      <c r="D153" t="s">
        <v>42</v>
      </c>
      <c r="E153" t="s">
        <v>25</v>
      </c>
      <c r="F153" t="s">
        <v>17</v>
      </c>
      <c r="G153">
        <v>4</v>
      </c>
      <c r="H153">
        <v>22930</v>
      </c>
      <c r="I153">
        <f t="shared" si="4"/>
        <v>91720</v>
      </c>
      <c r="J153" t="str">
        <f t="shared" si="5"/>
        <v>Normal</v>
      </c>
      <c r="K153" t="str">
        <v>2024-04</v>
      </c>
      <c r="L153" t="str">
        <v>April</v>
      </c>
    </row>
    <row r="154" spans="1:20" x14ac:dyDescent="0.25">
      <c r="A154">
        <v>1153</v>
      </c>
      <c r="B154" t="s">
        <v>47</v>
      </c>
      <c r="C154" t="s">
        <v>19</v>
      </c>
      <c r="D154" t="s">
        <v>10</v>
      </c>
      <c r="E154" t="s">
        <v>23</v>
      </c>
      <c r="F154" t="s">
        <v>17</v>
      </c>
      <c r="G154">
        <v>5</v>
      </c>
      <c r="H154">
        <v>32092</v>
      </c>
      <c r="I154">
        <f t="shared" si="4"/>
        <v>160460</v>
      </c>
      <c r="J154" t="str">
        <f t="shared" si="5"/>
        <v>High</v>
      </c>
      <c r="K154" t="str">
        <v>2024-03</v>
      </c>
      <c r="L154" t="str">
        <v>March</v>
      </c>
    </row>
    <row r="155" spans="1:20" x14ac:dyDescent="0.25">
      <c r="A155">
        <v>1154</v>
      </c>
      <c r="B155" t="s">
        <v>71</v>
      </c>
      <c r="C155" t="s">
        <v>27</v>
      </c>
      <c r="D155" t="s">
        <v>15</v>
      </c>
      <c r="E155" t="s">
        <v>25</v>
      </c>
      <c r="F155" t="s">
        <v>17</v>
      </c>
      <c r="G155">
        <v>5</v>
      </c>
      <c r="H155">
        <v>21460</v>
      </c>
      <c r="I155">
        <f t="shared" si="4"/>
        <v>107300</v>
      </c>
      <c r="J155" t="str">
        <f t="shared" si="5"/>
        <v>High</v>
      </c>
      <c r="K155" t="str">
        <v>2024-04</v>
      </c>
      <c r="L155" t="str">
        <v>April</v>
      </c>
    </row>
    <row r="156" spans="1:20" x14ac:dyDescent="0.25">
      <c r="A156">
        <v>1155</v>
      </c>
      <c r="B156" t="s">
        <v>101</v>
      </c>
      <c r="C156" t="s">
        <v>19</v>
      </c>
      <c r="D156" t="s">
        <v>29</v>
      </c>
      <c r="E156" t="s">
        <v>20</v>
      </c>
      <c r="F156" t="s">
        <v>17</v>
      </c>
      <c r="G156">
        <v>6</v>
      </c>
      <c r="H156">
        <v>48078</v>
      </c>
      <c r="I156">
        <f t="shared" si="4"/>
        <v>288468</v>
      </c>
      <c r="J156" t="str">
        <f t="shared" si="5"/>
        <v>High</v>
      </c>
      <c r="K156" t="str">
        <v>2024-05</v>
      </c>
      <c r="L156" t="str">
        <v>May</v>
      </c>
    </row>
    <row r="157" spans="1:20" x14ac:dyDescent="0.25">
      <c r="A157">
        <v>1156</v>
      </c>
      <c r="B157" t="s">
        <v>105</v>
      </c>
      <c r="C157" t="s">
        <v>19</v>
      </c>
      <c r="D157" t="s">
        <v>49</v>
      </c>
      <c r="E157" t="s">
        <v>11</v>
      </c>
      <c r="F157" t="s">
        <v>12</v>
      </c>
      <c r="G157">
        <v>4</v>
      </c>
      <c r="H157">
        <v>23941</v>
      </c>
      <c r="I157">
        <f t="shared" si="4"/>
        <v>95764</v>
      </c>
      <c r="J157" t="str">
        <f t="shared" si="5"/>
        <v>Normal</v>
      </c>
      <c r="K157" t="str">
        <v>2024-03</v>
      </c>
      <c r="L157" t="str">
        <v>March</v>
      </c>
    </row>
    <row r="158" spans="1:20" x14ac:dyDescent="0.25">
      <c r="A158">
        <v>1157</v>
      </c>
      <c r="B158" t="s">
        <v>131</v>
      </c>
      <c r="C158" t="s">
        <v>14</v>
      </c>
      <c r="D158" t="s">
        <v>10</v>
      </c>
      <c r="E158" t="s">
        <v>20</v>
      </c>
      <c r="F158" t="s">
        <v>17</v>
      </c>
      <c r="G158">
        <v>8</v>
      </c>
      <c r="H158">
        <v>49059</v>
      </c>
      <c r="I158">
        <f t="shared" si="4"/>
        <v>392472</v>
      </c>
      <c r="J158" t="str">
        <f t="shared" si="5"/>
        <v>High</v>
      </c>
      <c r="K158" t="str">
        <v>2024-01</v>
      </c>
      <c r="L158" t="str">
        <v>January</v>
      </c>
    </row>
    <row r="159" spans="1:20" x14ac:dyDescent="0.25">
      <c r="A159">
        <v>1158</v>
      </c>
      <c r="B159" t="s">
        <v>103</v>
      </c>
      <c r="C159" t="s">
        <v>27</v>
      </c>
      <c r="D159" t="s">
        <v>42</v>
      </c>
      <c r="E159" t="s">
        <v>23</v>
      </c>
      <c r="F159" t="s">
        <v>17</v>
      </c>
      <c r="G159">
        <v>2</v>
      </c>
      <c r="H159">
        <v>32469</v>
      </c>
      <c r="I159">
        <f t="shared" si="4"/>
        <v>64938</v>
      </c>
      <c r="J159" t="str">
        <f t="shared" si="5"/>
        <v>Normal</v>
      </c>
      <c r="K159" t="str">
        <v>2024-05</v>
      </c>
      <c r="L159" t="str">
        <v>May</v>
      </c>
    </row>
    <row r="160" spans="1:20" x14ac:dyDescent="0.25">
      <c r="A160">
        <v>1159</v>
      </c>
      <c r="B160" t="s">
        <v>132</v>
      </c>
      <c r="C160" t="s">
        <v>14</v>
      </c>
      <c r="D160" t="s">
        <v>42</v>
      </c>
      <c r="E160" t="s">
        <v>25</v>
      </c>
      <c r="F160" t="s">
        <v>17</v>
      </c>
      <c r="G160">
        <v>1</v>
      </c>
      <c r="H160">
        <v>21227</v>
      </c>
      <c r="I160">
        <f t="shared" si="4"/>
        <v>21227</v>
      </c>
      <c r="J160" t="str">
        <f t="shared" si="5"/>
        <v>Normal</v>
      </c>
      <c r="K160" t="str">
        <v>2024-02</v>
      </c>
      <c r="L160" t="str">
        <v>February</v>
      </c>
    </row>
    <row r="161" spans="1:12" x14ac:dyDescent="0.25">
      <c r="A161">
        <v>1160</v>
      </c>
      <c r="B161" t="s">
        <v>133</v>
      </c>
      <c r="C161" t="s">
        <v>27</v>
      </c>
      <c r="D161" t="s">
        <v>49</v>
      </c>
      <c r="E161" t="s">
        <v>16</v>
      </c>
      <c r="F161" t="s">
        <v>17</v>
      </c>
      <c r="G161">
        <v>7</v>
      </c>
      <c r="H161">
        <v>16875</v>
      </c>
      <c r="I161">
        <f t="shared" si="4"/>
        <v>118125</v>
      </c>
      <c r="J161" t="str">
        <f t="shared" si="5"/>
        <v>High</v>
      </c>
      <c r="K161" t="str">
        <v>2024-06</v>
      </c>
      <c r="L161" t="str">
        <v>June</v>
      </c>
    </row>
    <row r="162" spans="1:12" x14ac:dyDescent="0.25">
      <c r="A162">
        <v>1161</v>
      </c>
      <c r="B162" t="s">
        <v>134</v>
      </c>
      <c r="C162" t="s">
        <v>19</v>
      </c>
      <c r="D162" t="s">
        <v>42</v>
      </c>
      <c r="E162" t="s">
        <v>11</v>
      </c>
      <c r="F162" t="s">
        <v>12</v>
      </c>
      <c r="G162">
        <v>5</v>
      </c>
      <c r="H162">
        <v>23196</v>
      </c>
      <c r="I162">
        <f t="shared" si="4"/>
        <v>115980</v>
      </c>
      <c r="J162" t="str">
        <f t="shared" si="5"/>
        <v>High</v>
      </c>
      <c r="K162" t="str">
        <v>2024-04</v>
      </c>
      <c r="L162" t="str">
        <v>April</v>
      </c>
    </row>
    <row r="163" spans="1:12" x14ac:dyDescent="0.25">
      <c r="A163">
        <v>1162</v>
      </c>
      <c r="B163" t="s">
        <v>26</v>
      </c>
      <c r="C163" t="s">
        <v>9</v>
      </c>
      <c r="D163" t="s">
        <v>31</v>
      </c>
      <c r="E163" t="s">
        <v>23</v>
      </c>
      <c r="F163" t="s">
        <v>17</v>
      </c>
      <c r="G163">
        <v>9</v>
      </c>
      <c r="H163">
        <v>31774</v>
      </c>
      <c r="I163">
        <f t="shared" si="4"/>
        <v>285966</v>
      </c>
      <c r="J163" t="str">
        <f t="shared" si="5"/>
        <v>High</v>
      </c>
      <c r="K163" t="str">
        <v>2024-06</v>
      </c>
      <c r="L163" t="str">
        <v>June</v>
      </c>
    </row>
    <row r="164" spans="1:12" x14ac:dyDescent="0.25">
      <c r="A164">
        <v>1163</v>
      </c>
      <c r="B164" t="s">
        <v>135</v>
      </c>
      <c r="C164" t="s">
        <v>27</v>
      </c>
      <c r="D164" t="s">
        <v>42</v>
      </c>
      <c r="E164" t="s">
        <v>11</v>
      </c>
      <c r="F164" t="s">
        <v>12</v>
      </c>
      <c r="G164">
        <v>4</v>
      </c>
      <c r="H164">
        <v>27635</v>
      </c>
      <c r="I164">
        <f t="shared" si="4"/>
        <v>110540</v>
      </c>
      <c r="J164" t="str">
        <f t="shared" si="5"/>
        <v>High</v>
      </c>
      <c r="K164" t="str">
        <v>2024-01</v>
      </c>
      <c r="L164" t="str">
        <v>January</v>
      </c>
    </row>
    <row r="165" spans="1:12" x14ac:dyDescent="0.25">
      <c r="A165">
        <v>1164</v>
      </c>
      <c r="B165" t="s">
        <v>106</v>
      </c>
      <c r="C165" t="s">
        <v>9</v>
      </c>
      <c r="D165" t="s">
        <v>31</v>
      </c>
      <c r="E165" t="s">
        <v>35</v>
      </c>
      <c r="F165" t="s">
        <v>12</v>
      </c>
      <c r="G165">
        <v>8</v>
      </c>
      <c r="H165">
        <v>9486</v>
      </c>
      <c r="I165">
        <f t="shared" si="4"/>
        <v>75888</v>
      </c>
      <c r="J165" t="str">
        <f t="shared" si="5"/>
        <v>Normal</v>
      </c>
      <c r="K165" t="str">
        <v>2024-01</v>
      </c>
      <c r="L165" t="str">
        <v>January</v>
      </c>
    </row>
    <row r="166" spans="1:12" x14ac:dyDescent="0.25">
      <c r="A166">
        <v>1165</v>
      </c>
      <c r="B166" t="s">
        <v>88</v>
      </c>
      <c r="C166" t="s">
        <v>14</v>
      </c>
      <c r="D166" t="s">
        <v>31</v>
      </c>
      <c r="E166" t="s">
        <v>25</v>
      </c>
      <c r="F166" t="s">
        <v>17</v>
      </c>
      <c r="G166">
        <v>2</v>
      </c>
      <c r="H166">
        <v>18847</v>
      </c>
      <c r="I166">
        <f t="shared" si="4"/>
        <v>37694</v>
      </c>
      <c r="J166" t="str">
        <f t="shared" si="5"/>
        <v>Normal</v>
      </c>
      <c r="K166" t="str">
        <v>2024-01</v>
      </c>
      <c r="L166" t="str">
        <v>January</v>
      </c>
    </row>
    <row r="167" spans="1:12" x14ac:dyDescent="0.25">
      <c r="A167">
        <v>1166</v>
      </c>
      <c r="B167" t="s">
        <v>101</v>
      </c>
      <c r="C167" t="s">
        <v>19</v>
      </c>
      <c r="D167" t="s">
        <v>31</v>
      </c>
      <c r="E167" t="s">
        <v>23</v>
      </c>
      <c r="F167" t="s">
        <v>17</v>
      </c>
      <c r="G167">
        <v>6</v>
      </c>
      <c r="H167">
        <v>28308</v>
      </c>
      <c r="I167">
        <f t="shared" si="4"/>
        <v>169848</v>
      </c>
      <c r="J167" t="str">
        <f t="shared" si="5"/>
        <v>High</v>
      </c>
      <c r="K167" t="str">
        <v>2024-05</v>
      </c>
      <c r="L167" t="str">
        <v>May</v>
      </c>
    </row>
    <row r="168" spans="1:12" x14ac:dyDescent="0.25">
      <c r="A168">
        <v>1167</v>
      </c>
      <c r="B168" t="s">
        <v>136</v>
      </c>
      <c r="C168" t="s">
        <v>19</v>
      </c>
      <c r="D168" t="s">
        <v>31</v>
      </c>
      <c r="E168" t="s">
        <v>20</v>
      </c>
      <c r="F168" t="s">
        <v>17</v>
      </c>
      <c r="G168">
        <v>10</v>
      </c>
      <c r="H168">
        <v>49265</v>
      </c>
      <c r="I168">
        <f t="shared" si="4"/>
        <v>492650</v>
      </c>
      <c r="J168" t="str">
        <f t="shared" si="5"/>
        <v>High</v>
      </c>
      <c r="K168" t="str">
        <v>2024-01</v>
      </c>
      <c r="L168" t="str">
        <v>January</v>
      </c>
    </row>
    <row r="169" spans="1:12" x14ac:dyDescent="0.25">
      <c r="A169">
        <v>1168</v>
      </c>
      <c r="B169" t="s">
        <v>137</v>
      </c>
      <c r="C169" t="s">
        <v>9</v>
      </c>
      <c r="D169" t="s">
        <v>49</v>
      </c>
      <c r="E169" t="s">
        <v>16</v>
      </c>
      <c r="F169" t="s">
        <v>17</v>
      </c>
      <c r="G169">
        <v>10</v>
      </c>
      <c r="H169">
        <v>13698</v>
      </c>
      <c r="I169">
        <f t="shared" si="4"/>
        <v>136980</v>
      </c>
      <c r="J169" t="str">
        <f t="shared" si="5"/>
        <v>High</v>
      </c>
      <c r="K169" t="str">
        <v>2024-04</v>
      </c>
      <c r="L169" t="str">
        <v>April</v>
      </c>
    </row>
    <row r="170" spans="1:12" x14ac:dyDescent="0.25">
      <c r="A170">
        <v>1169</v>
      </c>
      <c r="B170" t="s">
        <v>138</v>
      </c>
      <c r="C170" t="s">
        <v>9</v>
      </c>
      <c r="D170" t="s">
        <v>29</v>
      </c>
      <c r="E170" t="s">
        <v>23</v>
      </c>
      <c r="F170" t="s">
        <v>17</v>
      </c>
      <c r="G170">
        <v>7</v>
      </c>
      <c r="H170">
        <v>32927</v>
      </c>
      <c r="I170">
        <f t="shared" si="4"/>
        <v>230489</v>
      </c>
      <c r="J170" t="str">
        <f t="shared" si="5"/>
        <v>High</v>
      </c>
      <c r="K170" t="str">
        <v>2024-03</v>
      </c>
      <c r="L170" t="str">
        <v>March</v>
      </c>
    </row>
    <row r="171" spans="1:12" x14ac:dyDescent="0.25">
      <c r="A171">
        <v>1170</v>
      </c>
      <c r="B171" t="s">
        <v>101</v>
      </c>
      <c r="C171" t="s">
        <v>27</v>
      </c>
      <c r="D171" t="s">
        <v>49</v>
      </c>
      <c r="E171" t="s">
        <v>20</v>
      </c>
      <c r="F171" t="s">
        <v>17</v>
      </c>
      <c r="G171">
        <v>5</v>
      </c>
      <c r="H171">
        <v>48557</v>
      </c>
      <c r="I171">
        <f t="shared" si="4"/>
        <v>242785</v>
      </c>
      <c r="J171" t="str">
        <f t="shared" si="5"/>
        <v>High</v>
      </c>
      <c r="K171" t="str">
        <v>2024-05</v>
      </c>
      <c r="L171" t="str">
        <v>May</v>
      </c>
    </row>
    <row r="172" spans="1:12" x14ac:dyDescent="0.25">
      <c r="A172">
        <v>1171</v>
      </c>
      <c r="B172" t="s">
        <v>79</v>
      </c>
      <c r="C172" t="s">
        <v>14</v>
      </c>
      <c r="D172" t="s">
        <v>49</v>
      </c>
      <c r="E172" t="s">
        <v>20</v>
      </c>
      <c r="F172" t="s">
        <v>17</v>
      </c>
      <c r="G172">
        <v>7</v>
      </c>
      <c r="H172">
        <v>51697</v>
      </c>
      <c r="I172">
        <f t="shared" si="4"/>
        <v>361879</v>
      </c>
      <c r="J172" t="str">
        <f t="shared" si="5"/>
        <v>High</v>
      </c>
      <c r="K172" t="str">
        <v>2024-06</v>
      </c>
      <c r="L172" t="str">
        <v>June</v>
      </c>
    </row>
    <row r="173" spans="1:12" x14ac:dyDescent="0.25">
      <c r="A173">
        <v>1172</v>
      </c>
      <c r="B173" t="s">
        <v>97</v>
      </c>
      <c r="C173" t="s">
        <v>14</v>
      </c>
      <c r="D173" t="s">
        <v>15</v>
      </c>
      <c r="E173" t="s">
        <v>35</v>
      </c>
      <c r="F173" t="s">
        <v>12</v>
      </c>
      <c r="G173">
        <v>6</v>
      </c>
      <c r="H173">
        <v>8077</v>
      </c>
      <c r="I173">
        <f t="shared" si="4"/>
        <v>48462</v>
      </c>
      <c r="J173" t="str">
        <f t="shared" si="5"/>
        <v>Normal</v>
      </c>
      <c r="K173" t="str">
        <v>2024-02</v>
      </c>
      <c r="L173" t="str">
        <v>February</v>
      </c>
    </row>
    <row r="174" spans="1:12" x14ac:dyDescent="0.25">
      <c r="A174">
        <v>1173</v>
      </c>
      <c r="B174" t="s">
        <v>139</v>
      </c>
      <c r="C174" t="s">
        <v>9</v>
      </c>
      <c r="D174" t="s">
        <v>31</v>
      </c>
      <c r="E174" t="s">
        <v>32</v>
      </c>
      <c r="F174" t="s">
        <v>12</v>
      </c>
      <c r="G174">
        <v>4</v>
      </c>
      <c r="H174">
        <v>1026</v>
      </c>
      <c r="I174">
        <f t="shared" si="4"/>
        <v>4104</v>
      </c>
      <c r="J174" t="str">
        <f t="shared" si="5"/>
        <v>Normal</v>
      </c>
      <c r="K174" t="str">
        <v>2024-04</v>
      </c>
      <c r="L174" t="str">
        <v>April</v>
      </c>
    </row>
    <row r="175" spans="1:12" x14ac:dyDescent="0.25">
      <c r="A175">
        <v>1174</v>
      </c>
      <c r="B175" t="s">
        <v>44</v>
      </c>
      <c r="C175" t="s">
        <v>14</v>
      </c>
      <c r="D175" t="s">
        <v>42</v>
      </c>
      <c r="E175" t="s">
        <v>20</v>
      </c>
      <c r="F175" t="s">
        <v>17</v>
      </c>
      <c r="G175">
        <v>3</v>
      </c>
      <c r="H175">
        <v>49628</v>
      </c>
      <c r="I175">
        <f t="shared" si="4"/>
        <v>148884</v>
      </c>
      <c r="J175" t="str">
        <f t="shared" si="5"/>
        <v>High</v>
      </c>
      <c r="K175" t="str">
        <v>2024-01</v>
      </c>
      <c r="L175" t="str">
        <v>January</v>
      </c>
    </row>
    <row r="176" spans="1:12" x14ac:dyDescent="0.25">
      <c r="A176">
        <v>1175</v>
      </c>
      <c r="B176" t="s">
        <v>140</v>
      </c>
      <c r="C176" t="s">
        <v>14</v>
      </c>
      <c r="D176" t="s">
        <v>49</v>
      </c>
      <c r="E176" t="s">
        <v>32</v>
      </c>
      <c r="F176" t="s">
        <v>12</v>
      </c>
      <c r="G176">
        <v>10</v>
      </c>
      <c r="H176">
        <v>779</v>
      </c>
      <c r="I176">
        <f t="shared" si="4"/>
        <v>7790</v>
      </c>
      <c r="J176" t="str">
        <f t="shared" si="5"/>
        <v>Normal</v>
      </c>
      <c r="K176" t="str">
        <v>2024-06</v>
      </c>
      <c r="L176" t="str">
        <v>June</v>
      </c>
    </row>
    <row r="177" spans="1:12" x14ac:dyDescent="0.25">
      <c r="A177">
        <v>1176</v>
      </c>
      <c r="B177" t="s">
        <v>141</v>
      </c>
      <c r="C177" t="s">
        <v>27</v>
      </c>
      <c r="D177" t="s">
        <v>15</v>
      </c>
      <c r="E177" t="s">
        <v>25</v>
      </c>
      <c r="F177" t="s">
        <v>17</v>
      </c>
      <c r="G177">
        <v>7</v>
      </c>
      <c r="H177">
        <v>21519</v>
      </c>
      <c r="I177">
        <f t="shared" si="4"/>
        <v>150633</v>
      </c>
      <c r="J177" t="str">
        <f t="shared" si="5"/>
        <v>High</v>
      </c>
      <c r="K177" t="str">
        <v>2024-06</v>
      </c>
      <c r="L177" t="str">
        <v>June</v>
      </c>
    </row>
    <row r="178" spans="1:12" x14ac:dyDescent="0.25">
      <c r="A178">
        <v>1177</v>
      </c>
      <c r="B178" t="s">
        <v>13</v>
      </c>
      <c r="C178" t="s">
        <v>27</v>
      </c>
      <c r="D178" t="s">
        <v>31</v>
      </c>
      <c r="E178" t="s">
        <v>25</v>
      </c>
      <c r="F178" t="s">
        <v>17</v>
      </c>
      <c r="G178">
        <v>2</v>
      </c>
      <c r="H178">
        <v>18001</v>
      </c>
      <c r="I178">
        <f t="shared" si="4"/>
        <v>36002</v>
      </c>
      <c r="J178" t="str">
        <f t="shared" si="5"/>
        <v>Normal</v>
      </c>
      <c r="K178" t="str">
        <v>2024-04</v>
      </c>
      <c r="L178" t="str">
        <v>April</v>
      </c>
    </row>
    <row r="179" spans="1:12" x14ac:dyDescent="0.25">
      <c r="A179">
        <v>1178</v>
      </c>
      <c r="B179" t="s">
        <v>142</v>
      </c>
      <c r="C179" t="s">
        <v>9</v>
      </c>
      <c r="D179" t="s">
        <v>29</v>
      </c>
      <c r="E179" t="s">
        <v>32</v>
      </c>
      <c r="F179" t="s">
        <v>12</v>
      </c>
      <c r="G179">
        <v>5</v>
      </c>
      <c r="H179">
        <v>539</v>
      </c>
      <c r="I179">
        <f t="shared" si="4"/>
        <v>2695</v>
      </c>
      <c r="J179" t="str">
        <f t="shared" si="5"/>
        <v>Normal</v>
      </c>
      <c r="K179" t="str">
        <v>2024-03</v>
      </c>
      <c r="L179" t="str">
        <v>March</v>
      </c>
    </row>
    <row r="180" spans="1:12" x14ac:dyDescent="0.25">
      <c r="A180">
        <v>1179</v>
      </c>
      <c r="B180" t="s">
        <v>143</v>
      </c>
      <c r="C180" t="s">
        <v>9</v>
      </c>
      <c r="D180" t="s">
        <v>49</v>
      </c>
      <c r="E180" t="s">
        <v>11</v>
      </c>
      <c r="F180" t="s">
        <v>12</v>
      </c>
      <c r="G180">
        <v>6</v>
      </c>
      <c r="H180">
        <v>24727</v>
      </c>
      <c r="I180">
        <f t="shared" si="4"/>
        <v>148362</v>
      </c>
      <c r="J180" t="str">
        <f t="shared" si="5"/>
        <v>High</v>
      </c>
      <c r="K180" t="str">
        <v>2024-02</v>
      </c>
      <c r="L180" t="str">
        <v>February</v>
      </c>
    </row>
    <row r="181" spans="1:12" x14ac:dyDescent="0.25">
      <c r="A181">
        <v>1180</v>
      </c>
      <c r="B181" t="s">
        <v>103</v>
      </c>
      <c r="C181" t="s">
        <v>9</v>
      </c>
      <c r="D181" t="s">
        <v>49</v>
      </c>
      <c r="E181" t="s">
        <v>35</v>
      </c>
      <c r="F181" t="s">
        <v>12</v>
      </c>
      <c r="G181">
        <v>6</v>
      </c>
      <c r="H181">
        <v>7842</v>
      </c>
      <c r="I181">
        <f t="shared" si="4"/>
        <v>47052</v>
      </c>
      <c r="J181" t="str">
        <f t="shared" si="5"/>
        <v>Normal</v>
      </c>
      <c r="K181" t="str">
        <v>2024-05</v>
      </c>
      <c r="L181" t="str">
        <v>May</v>
      </c>
    </row>
    <row r="182" spans="1:12" x14ac:dyDescent="0.25">
      <c r="A182">
        <v>1181</v>
      </c>
      <c r="B182" t="s">
        <v>123</v>
      </c>
      <c r="C182" t="s">
        <v>9</v>
      </c>
      <c r="D182" t="s">
        <v>42</v>
      </c>
      <c r="E182" t="s">
        <v>11</v>
      </c>
      <c r="F182" t="s">
        <v>12</v>
      </c>
      <c r="G182">
        <v>8</v>
      </c>
      <c r="H182">
        <v>25844</v>
      </c>
      <c r="I182">
        <f t="shared" si="4"/>
        <v>206752</v>
      </c>
      <c r="J182" t="str">
        <f t="shared" si="5"/>
        <v>High</v>
      </c>
      <c r="K182" t="str">
        <v>2024-03</v>
      </c>
      <c r="L182" t="str">
        <v>March</v>
      </c>
    </row>
    <row r="183" spans="1:12" x14ac:dyDescent="0.25">
      <c r="A183">
        <v>1182</v>
      </c>
      <c r="B183" t="s">
        <v>47</v>
      </c>
      <c r="C183" t="s">
        <v>9</v>
      </c>
      <c r="D183" t="s">
        <v>10</v>
      </c>
      <c r="E183" t="s">
        <v>16</v>
      </c>
      <c r="F183" t="s">
        <v>17</v>
      </c>
      <c r="G183">
        <v>5</v>
      </c>
      <c r="H183">
        <v>14691</v>
      </c>
      <c r="I183">
        <f t="shared" si="4"/>
        <v>73455</v>
      </c>
      <c r="J183" t="str">
        <f t="shared" si="5"/>
        <v>Normal</v>
      </c>
      <c r="K183" t="str">
        <v>2024-03</v>
      </c>
      <c r="L183" t="str">
        <v>March</v>
      </c>
    </row>
    <row r="184" spans="1:12" x14ac:dyDescent="0.25">
      <c r="A184">
        <v>1183</v>
      </c>
      <c r="B184" t="s">
        <v>41</v>
      </c>
      <c r="C184" t="s">
        <v>19</v>
      </c>
      <c r="D184" t="s">
        <v>29</v>
      </c>
      <c r="E184" t="s">
        <v>16</v>
      </c>
      <c r="F184" t="s">
        <v>17</v>
      </c>
      <c r="G184">
        <v>3</v>
      </c>
      <c r="H184">
        <v>15227</v>
      </c>
      <c r="I184">
        <f t="shared" si="4"/>
        <v>45681</v>
      </c>
      <c r="J184" t="str">
        <f t="shared" si="5"/>
        <v>Normal</v>
      </c>
      <c r="K184" t="str">
        <v>2024-05</v>
      </c>
      <c r="L184" t="str">
        <v>May</v>
      </c>
    </row>
    <row r="185" spans="1:12" x14ac:dyDescent="0.25">
      <c r="A185">
        <v>1184</v>
      </c>
      <c r="B185" t="s">
        <v>129</v>
      </c>
      <c r="C185" t="s">
        <v>9</v>
      </c>
      <c r="D185" t="s">
        <v>42</v>
      </c>
      <c r="E185" t="s">
        <v>16</v>
      </c>
      <c r="F185" t="s">
        <v>17</v>
      </c>
      <c r="G185">
        <v>3</v>
      </c>
      <c r="H185">
        <v>17724</v>
      </c>
      <c r="I185">
        <f t="shared" si="4"/>
        <v>53172</v>
      </c>
      <c r="J185" t="str">
        <f t="shared" si="5"/>
        <v>Normal</v>
      </c>
      <c r="K185" t="str">
        <v>2024-06</v>
      </c>
      <c r="L185" t="str">
        <v>June</v>
      </c>
    </row>
    <row r="186" spans="1:12" x14ac:dyDescent="0.25">
      <c r="A186">
        <v>1185</v>
      </c>
      <c r="B186" t="s">
        <v>127</v>
      </c>
      <c r="C186" t="s">
        <v>27</v>
      </c>
      <c r="D186" t="s">
        <v>15</v>
      </c>
      <c r="E186" t="s">
        <v>32</v>
      </c>
      <c r="F186" t="s">
        <v>12</v>
      </c>
      <c r="G186">
        <v>2</v>
      </c>
      <c r="H186">
        <v>3812</v>
      </c>
      <c r="I186">
        <f t="shared" si="4"/>
        <v>7624</v>
      </c>
      <c r="J186" t="str">
        <f t="shared" si="5"/>
        <v>Normal</v>
      </c>
      <c r="K186" t="str">
        <v>2024-01</v>
      </c>
      <c r="L186" t="str">
        <v>January</v>
      </c>
    </row>
    <row r="187" spans="1:12" x14ac:dyDescent="0.25">
      <c r="A187">
        <v>1186</v>
      </c>
      <c r="B187" t="s">
        <v>144</v>
      </c>
      <c r="C187" t="s">
        <v>14</v>
      </c>
      <c r="D187" t="s">
        <v>15</v>
      </c>
      <c r="E187" t="s">
        <v>32</v>
      </c>
      <c r="F187" t="s">
        <v>12</v>
      </c>
      <c r="G187">
        <v>9</v>
      </c>
      <c r="H187">
        <v>3550</v>
      </c>
      <c r="I187">
        <f t="shared" si="4"/>
        <v>31950</v>
      </c>
      <c r="J187" t="str">
        <f t="shared" si="5"/>
        <v>Normal</v>
      </c>
      <c r="K187" t="str">
        <v>2024-05</v>
      </c>
      <c r="L187" t="str">
        <v>May</v>
      </c>
    </row>
    <row r="188" spans="1:12" x14ac:dyDescent="0.25">
      <c r="A188">
        <v>1187</v>
      </c>
      <c r="B188" t="s">
        <v>145</v>
      </c>
      <c r="C188" t="s">
        <v>19</v>
      </c>
      <c r="D188" t="s">
        <v>42</v>
      </c>
      <c r="E188" t="s">
        <v>16</v>
      </c>
      <c r="F188" t="s">
        <v>17</v>
      </c>
      <c r="G188">
        <v>1</v>
      </c>
      <c r="H188">
        <v>13794</v>
      </c>
      <c r="I188">
        <f t="shared" si="4"/>
        <v>13794</v>
      </c>
      <c r="J188" t="str">
        <f t="shared" si="5"/>
        <v>Normal</v>
      </c>
      <c r="K188" t="str">
        <v>2024-05</v>
      </c>
      <c r="L188" t="str">
        <v>May</v>
      </c>
    </row>
    <row r="189" spans="1:12" x14ac:dyDescent="0.25">
      <c r="A189">
        <v>1188</v>
      </c>
      <c r="B189" t="s">
        <v>112</v>
      </c>
      <c r="C189" t="s">
        <v>27</v>
      </c>
      <c r="D189" t="s">
        <v>49</v>
      </c>
      <c r="E189" t="s">
        <v>25</v>
      </c>
      <c r="F189" t="s">
        <v>17</v>
      </c>
      <c r="G189">
        <v>10</v>
      </c>
      <c r="H189">
        <v>22177</v>
      </c>
      <c r="I189">
        <f t="shared" si="4"/>
        <v>221770</v>
      </c>
      <c r="J189" t="str">
        <f t="shared" si="5"/>
        <v>High</v>
      </c>
      <c r="K189" t="str">
        <v>2024-05</v>
      </c>
      <c r="L189" t="str">
        <v>May</v>
      </c>
    </row>
    <row r="190" spans="1:12" x14ac:dyDescent="0.25">
      <c r="A190">
        <v>1189</v>
      </c>
      <c r="B190" t="s">
        <v>146</v>
      </c>
      <c r="C190" t="s">
        <v>14</v>
      </c>
      <c r="D190" t="s">
        <v>15</v>
      </c>
      <c r="E190" t="s">
        <v>35</v>
      </c>
      <c r="F190" t="s">
        <v>12</v>
      </c>
      <c r="G190">
        <v>3</v>
      </c>
      <c r="H190">
        <v>7922</v>
      </c>
      <c r="I190">
        <f t="shared" si="4"/>
        <v>23766</v>
      </c>
      <c r="J190" t="str">
        <f t="shared" si="5"/>
        <v>Normal</v>
      </c>
      <c r="K190" t="str">
        <v>2024-06</v>
      </c>
      <c r="L190" t="str">
        <v>June</v>
      </c>
    </row>
    <row r="191" spans="1:12" x14ac:dyDescent="0.25">
      <c r="A191">
        <v>1190</v>
      </c>
      <c r="B191" t="s">
        <v>80</v>
      </c>
      <c r="C191" t="s">
        <v>27</v>
      </c>
      <c r="D191" t="s">
        <v>10</v>
      </c>
      <c r="E191" t="s">
        <v>35</v>
      </c>
      <c r="F191" t="s">
        <v>12</v>
      </c>
      <c r="G191">
        <v>10</v>
      </c>
      <c r="H191">
        <v>7523</v>
      </c>
      <c r="I191">
        <f t="shared" si="4"/>
        <v>75230</v>
      </c>
      <c r="J191" t="str">
        <f t="shared" si="5"/>
        <v>Normal</v>
      </c>
      <c r="K191" t="str">
        <v>2024-06</v>
      </c>
      <c r="L191" t="str">
        <v>June</v>
      </c>
    </row>
    <row r="192" spans="1:12" x14ac:dyDescent="0.25">
      <c r="A192">
        <v>1191</v>
      </c>
      <c r="B192" t="s">
        <v>102</v>
      </c>
      <c r="C192" t="s">
        <v>9</v>
      </c>
      <c r="D192" t="s">
        <v>15</v>
      </c>
      <c r="E192" t="s">
        <v>25</v>
      </c>
      <c r="F192" t="s">
        <v>17</v>
      </c>
      <c r="G192">
        <v>8</v>
      </c>
      <c r="H192">
        <v>21713</v>
      </c>
      <c r="I192">
        <f t="shared" si="4"/>
        <v>173704</v>
      </c>
      <c r="J192" t="str">
        <f t="shared" si="5"/>
        <v>High</v>
      </c>
      <c r="K192" t="str">
        <v>2024-02</v>
      </c>
      <c r="L192" t="str">
        <v>February</v>
      </c>
    </row>
    <row r="193" spans="1:12" x14ac:dyDescent="0.25">
      <c r="A193">
        <v>1192</v>
      </c>
      <c r="B193" t="s">
        <v>147</v>
      </c>
      <c r="C193" t="s">
        <v>14</v>
      </c>
      <c r="D193" t="s">
        <v>10</v>
      </c>
      <c r="E193" t="s">
        <v>35</v>
      </c>
      <c r="F193" t="s">
        <v>12</v>
      </c>
      <c r="G193">
        <v>1</v>
      </c>
      <c r="H193">
        <v>8161</v>
      </c>
      <c r="I193">
        <f t="shared" si="4"/>
        <v>8161</v>
      </c>
      <c r="J193" t="str">
        <f t="shared" si="5"/>
        <v>Normal</v>
      </c>
      <c r="K193" t="str">
        <v>2024-01</v>
      </c>
      <c r="L193" t="str">
        <v>January</v>
      </c>
    </row>
    <row r="194" spans="1:12" x14ac:dyDescent="0.25">
      <c r="A194">
        <v>1193</v>
      </c>
      <c r="B194" t="s">
        <v>113</v>
      </c>
      <c r="C194" t="s">
        <v>19</v>
      </c>
      <c r="D194" t="s">
        <v>29</v>
      </c>
      <c r="E194" t="s">
        <v>20</v>
      </c>
      <c r="F194" t="s">
        <v>17</v>
      </c>
      <c r="G194">
        <v>1</v>
      </c>
      <c r="H194">
        <v>49740</v>
      </c>
      <c r="I194">
        <f t="shared" si="4"/>
        <v>49740</v>
      </c>
      <c r="J194" t="str">
        <f t="shared" si="5"/>
        <v>Normal</v>
      </c>
      <c r="K194" t="str">
        <v>2024-04</v>
      </c>
      <c r="L194" t="str">
        <v>April</v>
      </c>
    </row>
    <row r="195" spans="1:12" x14ac:dyDescent="0.25">
      <c r="A195">
        <v>1194</v>
      </c>
      <c r="B195" t="s">
        <v>148</v>
      </c>
      <c r="C195" t="s">
        <v>9</v>
      </c>
      <c r="D195" t="s">
        <v>31</v>
      </c>
      <c r="E195" t="s">
        <v>11</v>
      </c>
      <c r="F195" t="s">
        <v>12</v>
      </c>
      <c r="G195">
        <v>2</v>
      </c>
      <c r="H195">
        <v>23608</v>
      </c>
      <c r="I195">
        <f t="shared" ref="I195:I258" si="6">H195*G195</f>
        <v>47216</v>
      </c>
      <c r="J195" t="str">
        <f t="shared" ref="J195:J258" si="7">IF(I195&gt;100000,"High","Normal")</f>
        <v>Normal</v>
      </c>
      <c r="K195" t="str">
        <v>2024-05</v>
      </c>
      <c r="L195" t="str">
        <v>May</v>
      </c>
    </row>
    <row r="196" spans="1:12" x14ac:dyDescent="0.25">
      <c r="A196">
        <v>1195</v>
      </c>
      <c r="B196" t="s">
        <v>149</v>
      </c>
      <c r="C196" t="s">
        <v>27</v>
      </c>
      <c r="D196" t="s">
        <v>29</v>
      </c>
      <c r="E196" t="s">
        <v>16</v>
      </c>
      <c r="F196" t="s">
        <v>17</v>
      </c>
      <c r="G196">
        <v>9</v>
      </c>
      <c r="H196">
        <v>14179</v>
      </c>
      <c r="I196">
        <f t="shared" si="6"/>
        <v>127611</v>
      </c>
      <c r="J196" t="str">
        <f t="shared" si="7"/>
        <v>High</v>
      </c>
      <c r="K196" t="str">
        <v>2024-04</v>
      </c>
      <c r="L196" t="str">
        <v>April</v>
      </c>
    </row>
    <row r="197" spans="1:12" x14ac:dyDescent="0.25">
      <c r="A197">
        <v>1196</v>
      </c>
      <c r="B197" t="s">
        <v>36</v>
      </c>
      <c r="C197" t="s">
        <v>19</v>
      </c>
      <c r="D197" t="s">
        <v>10</v>
      </c>
      <c r="E197" t="s">
        <v>11</v>
      </c>
      <c r="F197" t="s">
        <v>12</v>
      </c>
      <c r="G197">
        <v>1</v>
      </c>
      <c r="H197">
        <v>24341</v>
      </c>
      <c r="I197">
        <f t="shared" si="6"/>
        <v>24341</v>
      </c>
      <c r="J197" t="str">
        <f t="shared" si="7"/>
        <v>Normal</v>
      </c>
      <c r="K197" t="str">
        <v>2024-03</v>
      </c>
      <c r="L197" t="str">
        <v>March</v>
      </c>
    </row>
    <row r="198" spans="1:12" x14ac:dyDescent="0.25">
      <c r="A198">
        <v>1197</v>
      </c>
      <c r="B198" t="s">
        <v>105</v>
      </c>
      <c r="C198" t="s">
        <v>14</v>
      </c>
      <c r="D198" t="s">
        <v>42</v>
      </c>
      <c r="E198" t="s">
        <v>20</v>
      </c>
      <c r="F198" t="s">
        <v>17</v>
      </c>
      <c r="G198">
        <v>1</v>
      </c>
      <c r="H198">
        <v>51680</v>
      </c>
      <c r="I198">
        <f t="shared" si="6"/>
        <v>51680</v>
      </c>
      <c r="J198" t="str">
        <f t="shared" si="7"/>
        <v>Normal</v>
      </c>
      <c r="K198" t="str">
        <v>2024-03</v>
      </c>
      <c r="L198" t="str">
        <v>March</v>
      </c>
    </row>
    <row r="199" spans="1:12" x14ac:dyDescent="0.25">
      <c r="A199">
        <v>1198</v>
      </c>
      <c r="B199" t="s">
        <v>150</v>
      </c>
      <c r="C199" t="s">
        <v>19</v>
      </c>
      <c r="D199" t="s">
        <v>29</v>
      </c>
      <c r="E199" t="s">
        <v>32</v>
      </c>
      <c r="F199" t="s">
        <v>12</v>
      </c>
      <c r="G199">
        <v>7</v>
      </c>
      <c r="H199">
        <v>1467</v>
      </c>
      <c r="I199">
        <f t="shared" si="6"/>
        <v>10269</v>
      </c>
      <c r="J199" t="str">
        <f t="shared" si="7"/>
        <v>Normal</v>
      </c>
      <c r="K199" t="str">
        <v>2024-04</v>
      </c>
      <c r="L199" t="str">
        <v>April</v>
      </c>
    </row>
    <row r="200" spans="1:12" x14ac:dyDescent="0.25">
      <c r="A200">
        <v>1199</v>
      </c>
      <c r="B200" t="s">
        <v>113</v>
      </c>
      <c r="C200" t="s">
        <v>14</v>
      </c>
      <c r="D200" t="s">
        <v>29</v>
      </c>
      <c r="E200" t="s">
        <v>32</v>
      </c>
      <c r="F200" t="s">
        <v>12</v>
      </c>
      <c r="G200">
        <v>1</v>
      </c>
      <c r="H200">
        <v>2011</v>
      </c>
      <c r="I200">
        <f t="shared" si="6"/>
        <v>2011</v>
      </c>
      <c r="J200" t="str">
        <f t="shared" si="7"/>
        <v>Normal</v>
      </c>
      <c r="K200" t="str">
        <v>2024-04</v>
      </c>
      <c r="L200" t="str">
        <v>April</v>
      </c>
    </row>
    <row r="201" spans="1:12" x14ac:dyDescent="0.25">
      <c r="A201">
        <v>1200</v>
      </c>
      <c r="B201" t="s">
        <v>108</v>
      </c>
      <c r="C201" t="s">
        <v>14</v>
      </c>
      <c r="D201" t="s">
        <v>29</v>
      </c>
      <c r="E201" t="s">
        <v>32</v>
      </c>
      <c r="F201" t="s">
        <v>12</v>
      </c>
      <c r="G201">
        <v>10</v>
      </c>
      <c r="H201">
        <v>3082</v>
      </c>
      <c r="I201">
        <f t="shared" si="6"/>
        <v>30820</v>
      </c>
      <c r="J201" t="str">
        <f t="shared" si="7"/>
        <v>Normal</v>
      </c>
      <c r="K201" t="str">
        <v>2024-06</v>
      </c>
      <c r="L201" t="str">
        <v>June</v>
      </c>
    </row>
    <row r="202" spans="1:12" x14ac:dyDescent="0.25">
      <c r="A202">
        <v>1201</v>
      </c>
      <c r="B202" t="s">
        <v>52</v>
      </c>
      <c r="C202" t="s">
        <v>19</v>
      </c>
      <c r="D202" t="s">
        <v>31</v>
      </c>
      <c r="E202" t="s">
        <v>16</v>
      </c>
      <c r="F202" t="s">
        <v>17</v>
      </c>
      <c r="G202">
        <v>4</v>
      </c>
      <c r="H202">
        <v>14361</v>
      </c>
      <c r="I202">
        <f t="shared" si="6"/>
        <v>57444</v>
      </c>
      <c r="J202" t="str">
        <f t="shared" si="7"/>
        <v>Normal</v>
      </c>
      <c r="K202" t="str">
        <v>2024-02</v>
      </c>
      <c r="L202" t="str">
        <v>February</v>
      </c>
    </row>
    <row r="203" spans="1:12" x14ac:dyDescent="0.25">
      <c r="A203">
        <v>1202</v>
      </c>
      <c r="B203" t="s">
        <v>145</v>
      </c>
      <c r="C203" t="s">
        <v>27</v>
      </c>
      <c r="D203" t="s">
        <v>29</v>
      </c>
      <c r="E203" t="s">
        <v>16</v>
      </c>
      <c r="F203" t="s">
        <v>17</v>
      </c>
      <c r="G203">
        <v>10</v>
      </c>
      <c r="H203">
        <v>14609</v>
      </c>
      <c r="I203">
        <f t="shared" si="6"/>
        <v>146090</v>
      </c>
      <c r="J203" t="str">
        <f t="shared" si="7"/>
        <v>High</v>
      </c>
      <c r="K203" t="str">
        <v>2024-05</v>
      </c>
      <c r="L203" t="str">
        <v>May</v>
      </c>
    </row>
    <row r="204" spans="1:12" x14ac:dyDescent="0.25">
      <c r="A204">
        <v>1203</v>
      </c>
      <c r="B204" t="s">
        <v>130</v>
      </c>
      <c r="C204" t="s">
        <v>9</v>
      </c>
      <c r="D204" t="s">
        <v>15</v>
      </c>
      <c r="E204" t="s">
        <v>20</v>
      </c>
      <c r="F204" t="s">
        <v>17</v>
      </c>
      <c r="G204">
        <v>10</v>
      </c>
      <c r="H204">
        <v>50891</v>
      </c>
      <c r="I204">
        <f t="shared" si="6"/>
        <v>508910</v>
      </c>
      <c r="J204" t="str">
        <f t="shared" si="7"/>
        <v>High</v>
      </c>
      <c r="K204" t="str">
        <v>2024-04</v>
      </c>
      <c r="L204" t="str">
        <v>April</v>
      </c>
    </row>
    <row r="205" spans="1:12" x14ac:dyDescent="0.25">
      <c r="A205">
        <v>1204</v>
      </c>
      <c r="B205" t="s">
        <v>52</v>
      </c>
      <c r="C205" t="s">
        <v>14</v>
      </c>
      <c r="D205" t="s">
        <v>49</v>
      </c>
      <c r="E205" t="s">
        <v>20</v>
      </c>
      <c r="F205" t="s">
        <v>17</v>
      </c>
      <c r="G205">
        <v>7</v>
      </c>
      <c r="H205">
        <v>49661</v>
      </c>
      <c r="I205">
        <f t="shared" si="6"/>
        <v>347627</v>
      </c>
      <c r="J205" t="str">
        <f t="shared" si="7"/>
        <v>High</v>
      </c>
      <c r="K205" t="str">
        <v>2024-02</v>
      </c>
      <c r="L205" t="str">
        <v>February</v>
      </c>
    </row>
    <row r="206" spans="1:12" x14ac:dyDescent="0.25">
      <c r="A206">
        <v>1205</v>
      </c>
      <c r="B206" t="s">
        <v>151</v>
      </c>
      <c r="C206" t="s">
        <v>27</v>
      </c>
      <c r="D206" t="s">
        <v>31</v>
      </c>
      <c r="E206" t="s">
        <v>11</v>
      </c>
      <c r="F206" t="s">
        <v>12</v>
      </c>
      <c r="G206">
        <v>1</v>
      </c>
      <c r="H206">
        <v>26430</v>
      </c>
      <c r="I206">
        <f t="shared" si="6"/>
        <v>26430</v>
      </c>
      <c r="J206" t="str">
        <f t="shared" si="7"/>
        <v>Normal</v>
      </c>
      <c r="K206" t="str">
        <v>2024-01</v>
      </c>
      <c r="L206" t="str">
        <v>January</v>
      </c>
    </row>
    <row r="207" spans="1:12" x14ac:dyDescent="0.25">
      <c r="A207">
        <v>1206</v>
      </c>
      <c r="B207" t="s">
        <v>143</v>
      </c>
      <c r="C207" t="s">
        <v>9</v>
      </c>
      <c r="D207" t="s">
        <v>29</v>
      </c>
      <c r="E207" t="s">
        <v>16</v>
      </c>
      <c r="F207" t="s">
        <v>17</v>
      </c>
      <c r="G207">
        <v>6</v>
      </c>
      <c r="H207">
        <v>14712</v>
      </c>
      <c r="I207">
        <f t="shared" si="6"/>
        <v>88272</v>
      </c>
      <c r="J207" t="str">
        <f t="shared" si="7"/>
        <v>Normal</v>
      </c>
      <c r="K207" t="str">
        <v>2024-02</v>
      </c>
      <c r="L207" t="str">
        <v>February</v>
      </c>
    </row>
    <row r="208" spans="1:12" x14ac:dyDescent="0.25">
      <c r="A208">
        <v>1207</v>
      </c>
      <c r="B208" t="s">
        <v>144</v>
      </c>
      <c r="C208" t="s">
        <v>19</v>
      </c>
      <c r="D208" t="s">
        <v>15</v>
      </c>
      <c r="E208" t="s">
        <v>35</v>
      </c>
      <c r="F208" t="s">
        <v>12</v>
      </c>
      <c r="G208">
        <v>10</v>
      </c>
      <c r="H208">
        <v>8221</v>
      </c>
      <c r="I208">
        <f t="shared" si="6"/>
        <v>82210</v>
      </c>
      <c r="J208" t="str">
        <f t="shared" si="7"/>
        <v>Normal</v>
      </c>
      <c r="K208" t="str">
        <v>2024-05</v>
      </c>
      <c r="L208" t="str">
        <v>May</v>
      </c>
    </row>
    <row r="209" spans="1:12" x14ac:dyDescent="0.25">
      <c r="A209">
        <v>1208</v>
      </c>
      <c r="B209" t="s">
        <v>152</v>
      </c>
      <c r="C209" t="s">
        <v>14</v>
      </c>
      <c r="D209" t="s">
        <v>31</v>
      </c>
      <c r="E209" t="s">
        <v>23</v>
      </c>
      <c r="F209" t="s">
        <v>17</v>
      </c>
      <c r="G209">
        <v>6</v>
      </c>
      <c r="H209">
        <v>31068</v>
      </c>
      <c r="I209">
        <f t="shared" si="6"/>
        <v>186408</v>
      </c>
      <c r="J209" t="str">
        <f t="shared" si="7"/>
        <v>High</v>
      </c>
      <c r="K209" t="str">
        <v>2024-04</v>
      </c>
      <c r="L209" t="str">
        <v>April</v>
      </c>
    </row>
    <row r="210" spans="1:12" x14ac:dyDescent="0.25">
      <c r="A210">
        <v>1209</v>
      </c>
      <c r="B210" t="s">
        <v>87</v>
      </c>
      <c r="C210" t="s">
        <v>9</v>
      </c>
      <c r="D210" t="s">
        <v>49</v>
      </c>
      <c r="E210" t="s">
        <v>32</v>
      </c>
      <c r="F210" t="s">
        <v>12</v>
      </c>
      <c r="G210">
        <v>2</v>
      </c>
      <c r="H210">
        <v>2201</v>
      </c>
      <c r="I210">
        <f t="shared" si="6"/>
        <v>4402</v>
      </c>
      <c r="J210" t="str">
        <f t="shared" si="7"/>
        <v>Normal</v>
      </c>
      <c r="K210" t="str">
        <v>2024-06</v>
      </c>
      <c r="L210" t="str">
        <v>June</v>
      </c>
    </row>
    <row r="211" spans="1:12" x14ac:dyDescent="0.25">
      <c r="A211">
        <v>1210</v>
      </c>
      <c r="B211" t="s">
        <v>153</v>
      </c>
      <c r="C211" t="s">
        <v>9</v>
      </c>
      <c r="D211" t="s">
        <v>31</v>
      </c>
      <c r="E211" t="s">
        <v>32</v>
      </c>
      <c r="F211" t="s">
        <v>12</v>
      </c>
      <c r="G211">
        <v>5</v>
      </c>
      <c r="H211">
        <v>990</v>
      </c>
      <c r="I211">
        <f t="shared" si="6"/>
        <v>4950</v>
      </c>
      <c r="J211" t="str">
        <f t="shared" si="7"/>
        <v>Normal</v>
      </c>
      <c r="K211" t="str">
        <v>2024-05</v>
      </c>
      <c r="L211" t="str">
        <v>May</v>
      </c>
    </row>
    <row r="212" spans="1:12" x14ac:dyDescent="0.25">
      <c r="A212">
        <v>1211</v>
      </c>
      <c r="B212" t="s">
        <v>103</v>
      </c>
      <c r="C212" t="s">
        <v>14</v>
      </c>
      <c r="D212" t="s">
        <v>15</v>
      </c>
      <c r="E212" t="s">
        <v>32</v>
      </c>
      <c r="F212" t="s">
        <v>12</v>
      </c>
      <c r="G212">
        <v>9</v>
      </c>
      <c r="H212">
        <v>4089</v>
      </c>
      <c r="I212">
        <f t="shared" si="6"/>
        <v>36801</v>
      </c>
      <c r="J212" t="str">
        <f t="shared" si="7"/>
        <v>Normal</v>
      </c>
      <c r="K212" t="str">
        <v>2024-05</v>
      </c>
      <c r="L212" t="str">
        <v>May</v>
      </c>
    </row>
    <row r="213" spans="1:12" x14ac:dyDescent="0.25">
      <c r="A213">
        <v>1212</v>
      </c>
      <c r="B213" t="s">
        <v>154</v>
      </c>
      <c r="C213" t="s">
        <v>19</v>
      </c>
      <c r="D213" t="s">
        <v>10</v>
      </c>
      <c r="E213" t="s">
        <v>16</v>
      </c>
      <c r="F213" t="s">
        <v>17</v>
      </c>
      <c r="G213">
        <v>2</v>
      </c>
      <c r="H213">
        <v>13064</v>
      </c>
      <c r="I213">
        <f t="shared" si="6"/>
        <v>26128</v>
      </c>
      <c r="J213" t="str">
        <f t="shared" si="7"/>
        <v>Normal</v>
      </c>
      <c r="K213" t="str">
        <v>2024-02</v>
      </c>
      <c r="L213" t="str">
        <v>February</v>
      </c>
    </row>
    <row r="214" spans="1:12" x14ac:dyDescent="0.25">
      <c r="A214">
        <v>1213</v>
      </c>
      <c r="B214" t="s">
        <v>66</v>
      </c>
      <c r="C214" t="s">
        <v>27</v>
      </c>
      <c r="D214" t="s">
        <v>42</v>
      </c>
      <c r="E214" t="s">
        <v>20</v>
      </c>
      <c r="F214" t="s">
        <v>17</v>
      </c>
      <c r="G214">
        <v>2</v>
      </c>
      <c r="H214">
        <v>52643</v>
      </c>
      <c r="I214">
        <f t="shared" si="6"/>
        <v>105286</v>
      </c>
      <c r="J214" t="str">
        <f t="shared" si="7"/>
        <v>High</v>
      </c>
      <c r="K214" t="str">
        <v>2024-03</v>
      </c>
      <c r="L214" t="str">
        <v>March</v>
      </c>
    </row>
    <row r="215" spans="1:12" x14ac:dyDescent="0.25">
      <c r="A215">
        <v>1214</v>
      </c>
      <c r="B215" t="s">
        <v>155</v>
      </c>
      <c r="C215" t="s">
        <v>27</v>
      </c>
      <c r="D215" t="s">
        <v>49</v>
      </c>
      <c r="E215" t="s">
        <v>16</v>
      </c>
      <c r="F215" t="s">
        <v>17</v>
      </c>
      <c r="G215">
        <v>9</v>
      </c>
      <c r="H215">
        <v>16951</v>
      </c>
      <c r="I215">
        <f t="shared" si="6"/>
        <v>152559</v>
      </c>
      <c r="J215" t="str">
        <f t="shared" si="7"/>
        <v>High</v>
      </c>
      <c r="K215" t="str">
        <v>2024-06</v>
      </c>
      <c r="L215" t="str">
        <v>June</v>
      </c>
    </row>
    <row r="216" spans="1:12" x14ac:dyDescent="0.25">
      <c r="A216">
        <v>1215</v>
      </c>
      <c r="B216" t="s">
        <v>156</v>
      </c>
      <c r="C216" t="s">
        <v>14</v>
      </c>
      <c r="D216" t="s">
        <v>29</v>
      </c>
      <c r="E216" t="s">
        <v>35</v>
      </c>
      <c r="F216" t="s">
        <v>12</v>
      </c>
      <c r="G216">
        <v>2</v>
      </c>
      <c r="H216">
        <v>5376</v>
      </c>
      <c r="I216">
        <f t="shared" si="6"/>
        <v>10752</v>
      </c>
      <c r="J216" t="str">
        <f t="shared" si="7"/>
        <v>Normal</v>
      </c>
      <c r="K216" t="str">
        <v>2024-02</v>
      </c>
      <c r="L216" t="str">
        <v>February</v>
      </c>
    </row>
    <row r="217" spans="1:12" x14ac:dyDescent="0.25">
      <c r="A217">
        <v>1216</v>
      </c>
      <c r="B217" t="s">
        <v>157</v>
      </c>
      <c r="C217" t="s">
        <v>19</v>
      </c>
      <c r="D217" t="s">
        <v>31</v>
      </c>
      <c r="E217" t="s">
        <v>16</v>
      </c>
      <c r="F217" t="s">
        <v>17</v>
      </c>
      <c r="G217">
        <v>2</v>
      </c>
      <c r="H217">
        <v>15125</v>
      </c>
      <c r="I217">
        <f t="shared" si="6"/>
        <v>30250</v>
      </c>
      <c r="J217" t="str">
        <f t="shared" si="7"/>
        <v>Normal</v>
      </c>
      <c r="K217" t="str">
        <v>2024-03</v>
      </c>
      <c r="L217" t="str">
        <v>March</v>
      </c>
    </row>
    <row r="218" spans="1:12" x14ac:dyDescent="0.25">
      <c r="A218">
        <v>1217</v>
      </c>
      <c r="B218" t="s">
        <v>158</v>
      </c>
      <c r="C218" t="s">
        <v>19</v>
      </c>
      <c r="D218" t="s">
        <v>49</v>
      </c>
      <c r="E218" t="s">
        <v>20</v>
      </c>
      <c r="F218" t="s">
        <v>17</v>
      </c>
      <c r="G218">
        <v>3</v>
      </c>
      <c r="H218">
        <v>52952</v>
      </c>
      <c r="I218">
        <f t="shared" si="6"/>
        <v>158856</v>
      </c>
      <c r="J218" t="str">
        <f t="shared" si="7"/>
        <v>High</v>
      </c>
      <c r="K218" t="str">
        <v>2024-05</v>
      </c>
      <c r="L218" t="str">
        <v>May</v>
      </c>
    </row>
    <row r="219" spans="1:12" x14ac:dyDescent="0.25">
      <c r="A219">
        <v>1218</v>
      </c>
      <c r="B219" t="s">
        <v>76</v>
      </c>
      <c r="C219" t="s">
        <v>14</v>
      </c>
      <c r="D219" t="s">
        <v>49</v>
      </c>
      <c r="E219" t="s">
        <v>32</v>
      </c>
      <c r="F219" t="s">
        <v>12</v>
      </c>
      <c r="G219">
        <v>8</v>
      </c>
      <c r="H219">
        <v>4514</v>
      </c>
      <c r="I219">
        <f t="shared" si="6"/>
        <v>36112</v>
      </c>
      <c r="J219" t="str">
        <f t="shared" si="7"/>
        <v>Normal</v>
      </c>
      <c r="K219" t="str">
        <v>2024-05</v>
      </c>
      <c r="L219" t="str">
        <v>May</v>
      </c>
    </row>
    <row r="220" spans="1:12" x14ac:dyDescent="0.25">
      <c r="A220">
        <v>1219</v>
      </c>
      <c r="B220" t="s">
        <v>159</v>
      </c>
      <c r="C220" t="s">
        <v>14</v>
      </c>
      <c r="D220" t="s">
        <v>31</v>
      </c>
      <c r="E220" t="s">
        <v>25</v>
      </c>
      <c r="F220" t="s">
        <v>17</v>
      </c>
      <c r="G220">
        <v>5</v>
      </c>
      <c r="H220">
        <v>20377</v>
      </c>
      <c r="I220">
        <f t="shared" si="6"/>
        <v>101885</v>
      </c>
      <c r="J220" t="str">
        <f t="shared" si="7"/>
        <v>High</v>
      </c>
      <c r="K220" t="str">
        <v>2024-02</v>
      </c>
      <c r="L220" t="str">
        <v>February</v>
      </c>
    </row>
    <row r="221" spans="1:12" x14ac:dyDescent="0.25">
      <c r="A221">
        <v>1220</v>
      </c>
      <c r="B221" t="s">
        <v>160</v>
      </c>
      <c r="C221" t="s">
        <v>27</v>
      </c>
      <c r="D221" t="s">
        <v>10</v>
      </c>
      <c r="E221" t="s">
        <v>23</v>
      </c>
      <c r="F221" t="s">
        <v>17</v>
      </c>
      <c r="G221">
        <v>2</v>
      </c>
      <c r="H221">
        <v>28548</v>
      </c>
      <c r="I221">
        <f t="shared" si="6"/>
        <v>57096</v>
      </c>
      <c r="J221" t="str">
        <f t="shared" si="7"/>
        <v>Normal</v>
      </c>
      <c r="K221" t="str">
        <v>2024-03</v>
      </c>
      <c r="L221" t="str">
        <v>March</v>
      </c>
    </row>
    <row r="222" spans="1:12" x14ac:dyDescent="0.25">
      <c r="A222">
        <v>1221</v>
      </c>
      <c r="B222" t="s">
        <v>161</v>
      </c>
      <c r="C222" t="s">
        <v>9</v>
      </c>
      <c r="D222" t="s">
        <v>49</v>
      </c>
      <c r="E222" t="s">
        <v>23</v>
      </c>
      <c r="F222" t="s">
        <v>17</v>
      </c>
      <c r="G222">
        <v>8</v>
      </c>
      <c r="H222">
        <v>31435</v>
      </c>
      <c r="I222">
        <f t="shared" si="6"/>
        <v>251480</v>
      </c>
      <c r="J222" t="str">
        <f t="shared" si="7"/>
        <v>High</v>
      </c>
      <c r="K222" t="str">
        <v>2024-06</v>
      </c>
      <c r="L222" t="str">
        <v>June</v>
      </c>
    </row>
    <row r="223" spans="1:12" x14ac:dyDescent="0.25">
      <c r="A223">
        <v>1222</v>
      </c>
      <c r="B223" t="s">
        <v>60</v>
      </c>
      <c r="C223" t="s">
        <v>9</v>
      </c>
      <c r="D223" t="s">
        <v>15</v>
      </c>
      <c r="E223" t="s">
        <v>25</v>
      </c>
      <c r="F223" t="s">
        <v>17</v>
      </c>
      <c r="G223">
        <v>2</v>
      </c>
      <c r="H223">
        <v>21974</v>
      </c>
      <c r="I223">
        <f t="shared" si="6"/>
        <v>43948</v>
      </c>
      <c r="J223" t="str">
        <f t="shared" si="7"/>
        <v>Normal</v>
      </c>
      <c r="K223" t="str">
        <v>2024-04</v>
      </c>
      <c r="L223" t="str">
        <v>April</v>
      </c>
    </row>
    <row r="224" spans="1:12" x14ac:dyDescent="0.25">
      <c r="A224">
        <v>1223</v>
      </c>
      <c r="B224" t="s">
        <v>144</v>
      </c>
      <c r="C224" t="s">
        <v>14</v>
      </c>
      <c r="D224" t="s">
        <v>29</v>
      </c>
      <c r="E224" t="s">
        <v>23</v>
      </c>
      <c r="F224" t="s">
        <v>17</v>
      </c>
      <c r="G224">
        <v>5</v>
      </c>
      <c r="H224">
        <v>28099</v>
      </c>
      <c r="I224">
        <f t="shared" si="6"/>
        <v>140495</v>
      </c>
      <c r="J224" t="str">
        <f t="shared" si="7"/>
        <v>High</v>
      </c>
      <c r="K224" t="str">
        <v>2024-05</v>
      </c>
      <c r="L224" t="str">
        <v>May</v>
      </c>
    </row>
    <row r="225" spans="1:12" x14ac:dyDescent="0.25">
      <c r="A225">
        <v>1224</v>
      </c>
      <c r="B225" t="s">
        <v>155</v>
      </c>
      <c r="C225" t="s">
        <v>14</v>
      </c>
      <c r="D225" t="s">
        <v>42</v>
      </c>
      <c r="E225" t="s">
        <v>32</v>
      </c>
      <c r="F225" t="s">
        <v>12</v>
      </c>
      <c r="G225">
        <v>7</v>
      </c>
      <c r="H225">
        <v>1471</v>
      </c>
      <c r="I225">
        <f t="shared" si="6"/>
        <v>10297</v>
      </c>
      <c r="J225" t="str">
        <f t="shared" si="7"/>
        <v>Normal</v>
      </c>
      <c r="K225" t="str">
        <v>2024-06</v>
      </c>
      <c r="L225" t="str">
        <v>June</v>
      </c>
    </row>
    <row r="226" spans="1:12" x14ac:dyDescent="0.25">
      <c r="A226">
        <v>1225</v>
      </c>
      <c r="B226" t="s">
        <v>105</v>
      </c>
      <c r="C226" t="s">
        <v>14</v>
      </c>
      <c r="D226" t="s">
        <v>10</v>
      </c>
      <c r="E226" t="s">
        <v>23</v>
      </c>
      <c r="F226" t="s">
        <v>17</v>
      </c>
      <c r="G226">
        <v>1</v>
      </c>
      <c r="H226">
        <v>32085</v>
      </c>
      <c r="I226">
        <f t="shared" si="6"/>
        <v>32085</v>
      </c>
      <c r="J226" t="str">
        <f t="shared" si="7"/>
        <v>Normal</v>
      </c>
      <c r="K226" t="str">
        <v>2024-03</v>
      </c>
      <c r="L226" t="str">
        <v>March</v>
      </c>
    </row>
    <row r="227" spans="1:12" x14ac:dyDescent="0.25">
      <c r="A227">
        <v>1226</v>
      </c>
      <c r="B227" t="s">
        <v>30</v>
      </c>
      <c r="C227" t="s">
        <v>19</v>
      </c>
      <c r="D227" t="s">
        <v>49</v>
      </c>
      <c r="E227" t="s">
        <v>16</v>
      </c>
      <c r="F227" t="s">
        <v>17</v>
      </c>
      <c r="G227">
        <v>1</v>
      </c>
      <c r="H227">
        <v>16588</v>
      </c>
      <c r="I227">
        <f t="shared" si="6"/>
        <v>16588</v>
      </c>
      <c r="J227" t="str">
        <f t="shared" si="7"/>
        <v>Normal</v>
      </c>
      <c r="K227" t="str">
        <v>2024-05</v>
      </c>
      <c r="L227" t="str">
        <v>May</v>
      </c>
    </row>
    <row r="228" spans="1:12" x14ac:dyDescent="0.25">
      <c r="A228">
        <v>1227</v>
      </c>
      <c r="B228" t="s">
        <v>157</v>
      </c>
      <c r="C228" t="s">
        <v>19</v>
      </c>
      <c r="D228" t="s">
        <v>42</v>
      </c>
      <c r="E228" t="s">
        <v>32</v>
      </c>
      <c r="F228" t="s">
        <v>12</v>
      </c>
      <c r="G228">
        <v>8</v>
      </c>
      <c r="H228">
        <v>2143</v>
      </c>
      <c r="I228">
        <f t="shared" si="6"/>
        <v>17144</v>
      </c>
      <c r="J228" t="str">
        <f t="shared" si="7"/>
        <v>Normal</v>
      </c>
      <c r="K228" t="str">
        <v>2024-03</v>
      </c>
      <c r="L228" t="str">
        <v>March</v>
      </c>
    </row>
    <row r="229" spans="1:12" x14ac:dyDescent="0.25">
      <c r="A229">
        <v>1228</v>
      </c>
      <c r="B229" t="s">
        <v>72</v>
      </c>
      <c r="C229" t="s">
        <v>9</v>
      </c>
      <c r="D229" t="s">
        <v>10</v>
      </c>
      <c r="E229" t="s">
        <v>23</v>
      </c>
      <c r="F229" t="s">
        <v>17</v>
      </c>
      <c r="G229">
        <v>3</v>
      </c>
      <c r="H229">
        <v>30565</v>
      </c>
      <c r="I229">
        <f t="shared" si="6"/>
        <v>91695</v>
      </c>
      <c r="J229" t="str">
        <f t="shared" si="7"/>
        <v>Normal</v>
      </c>
      <c r="K229" t="str">
        <v>2024-03</v>
      </c>
      <c r="L229" t="str">
        <v>March</v>
      </c>
    </row>
    <row r="230" spans="1:12" x14ac:dyDescent="0.25">
      <c r="A230">
        <v>1229</v>
      </c>
      <c r="B230" t="s">
        <v>148</v>
      </c>
      <c r="C230" t="s">
        <v>27</v>
      </c>
      <c r="D230" t="s">
        <v>49</v>
      </c>
      <c r="E230" t="s">
        <v>16</v>
      </c>
      <c r="F230" t="s">
        <v>17</v>
      </c>
      <c r="G230">
        <v>1</v>
      </c>
      <c r="H230">
        <v>13166</v>
      </c>
      <c r="I230">
        <f t="shared" si="6"/>
        <v>13166</v>
      </c>
      <c r="J230" t="str">
        <f t="shared" si="7"/>
        <v>Normal</v>
      </c>
      <c r="K230" t="str">
        <v>2024-05</v>
      </c>
      <c r="L230" t="str">
        <v>May</v>
      </c>
    </row>
    <row r="231" spans="1:12" x14ac:dyDescent="0.25">
      <c r="A231">
        <v>1230</v>
      </c>
      <c r="B231" t="s">
        <v>162</v>
      </c>
      <c r="C231" t="s">
        <v>9</v>
      </c>
      <c r="D231" t="s">
        <v>10</v>
      </c>
      <c r="E231" t="s">
        <v>20</v>
      </c>
      <c r="F231" t="s">
        <v>17</v>
      </c>
      <c r="G231">
        <v>7</v>
      </c>
      <c r="H231">
        <v>48805</v>
      </c>
      <c r="I231">
        <f t="shared" si="6"/>
        <v>341635</v>
      </c>
      <c r="J231" t="str">
        <f t="shared" si="7"/>
        <v>High</v>
      </c>
      <c r="K231" t="str">
        <v>2024-01</v>
      </c>
      <c r="L231" t="str">
        <v>January</v>
      </c>
    </row>
    <row r="232" spans="1:12" x14ac:dyDescent="0.25">
      <c r="A232">
        <v>1231</v>
      </c>
      <c r="B232" t="s">
        <v>22</v>
      </c>
      <c r="C232" t="s">
        <v>14</v>
      </c>
      <c r="D232" t="s">
        <v>15</v>
      </c>
      <c r="E232" t="s">
        <v>11</v>
      </c>
      <c r="F232" t="s">
        <v>12</v>
      </c>
      <c r="G232">
        <v>9</v>
      </c>
      <c r="H232">
        <v>23526</v>
      </c>
      <c r="I232">
        <f t="shared" si="6"/>
        <v>211734</v>
      </c>
      <c r="J232" t="str">
        <f t="shared" si="7"/>
        <v>High</v>
      </c>
      <c r="K232" t="str">
        <v>2024-02</v>
      </c>
      <c r="L232" t="str">
        <v>February</v>
      </c>
    </row>
    <row r="233" spans="1:12" x14ac:dyDescent="0.25">
      <c r="A233">
        <v>1232</v>
      </c>
      <c r="B233" t="s">
        <v>83</v>
      </c>
      <c r="C233" t="s">
        <v>14</v>
      </c>
      <c r="D233" t="s">
        <v>49</v>
      </c>
      <c r="E233" t="s">
        <v>32</v>
      </c>
      <c r="F233" t="s">
        <v>12</v>
      </c>
      <c r="G233">
        <v>6</v>
      </c>
      <c r="H233">
        <v>738</v>
      </c>
      <c r="I233">
        <f t="shared" si="6"/>
        <v>4428</v>
      </c>
      <c r="J233" t="str">
        <f t="shared" si="7"/>
        <v>Normal</v>
      </c>
      <c r="K233" t="str">
        <v>2024-03</v>
      </c>
      <c r="L233" t="str">
        <v>March</v>
      </c>
    </row>
    <row r="234" spans="1:12" x14ac:dyDescent="0.25">
      <c r="A234">
        <v>1233</v>
      </c>
      <c r="B234" t="s">
        <v>67</v>
      </c>
      <c r="C234" t="s">
        <v>19</v>
      </c>
      <c r="D234" t="s">
        <v>15</v>
      </c>
      <c r="E234" t="s">
        <v>35</v>
      </c>
      <c r="F234" t="s">
        <v>12</v>
      </c>
      <c r="G234">
        <v>5</v>
      </c>
      <c r="H234">
        <v>7839</v>
      </c>
      <c r="I234">
        <f t="shared" si="6"/>
        <v>39195</v>
      </c>
      <c r="J234" t="str">
        <f t="shared" si="7"/>
        <v>Normal</v>
      </c>
      <c r="K234" t="str">
        <v>2024-06</v>
      </c>
      <c r="L234" t="str">
        <v>June</v>
      </c>
    </row>
    <row r="235" spans="1:12" x14ac:dyDescent="0.25">
      <c r="A235">
        <v>1234</v>
      </c>
      <c r="B235" t="s">
        <v>146</v>
      </c>
      <c r="C235" t="s">
        <v>14</v>
      </c>
      <c r="D235" t="s">
        <v>29</v>
      </c>
      <c r="E235" t="s">
        <v>11</v>
      </c>
      <c r="F235" t="s">
        <v>12</v>
      </c>
      <c r="G235">
        <v>5</v>
      </c>
      <c r="H235">
        <v>24142</v>
      </c>
      <c r="I235">
        <f t="shared" si="6"/>
        <v>120710</v>
      </c>
      <c r="J235" t="str">
        <f t="shared" si="7"/>
        <v>High</v>
      </c>
      <c r="K235" t="str">
        <v>2024-06</v>
      </c>
      <c r="L235" t="str">
        <v>June</v>
      </c>
    </row>
    <row r="236" spans="1:12" x14ac:dyDescent="0.25">
      <c r="A236">
        <v>1235</v>
      </c>
      <c r="B236" t="s">
        <v>52</v>
      </c>
      <c r="C236" t="s">
        <v>14</v>
      </c>
      <c r="D236" t="s">
        <v>49</v>
      </c>
      <c r="E236" t="s">
        <v>16</v>
      </c>
      <c r="F236" t="s">
        <v>17</v>
      </c>
      <c r="G236">
        <v>7</v>
      </c>
      <c r="H236">
        <v>14332</v>
      </c>
      <c r="I236">
        <f t="shared" si="6"/>
        <v>100324</v>
      </c>
      <c r="J236" t="str">
        <f t="shared" si="7"/>
        <v>High</v>
      </c>
      <c r="K236" t="str">
        <v>2024-02</v>
      </c>
      <c r="L236" t="str">
        <v>February</v>
      </c>
    </row>
    <row r="237" spans="1:12" x14ac:dyDescent="0.25">
      <c r="A237">
        <v>1236</v>
      </c>
      <c r="B237" t="s">
        <v>132</v>
      </c>
      <c r="C237" t="s">
        <v>27</v>
      </c>
      <c r="D237" t="s">
        <v>29</v>
      </c>
      <c r="E237" t="s">
        <v>16</v>
      </c>
      <c r="F237" t="s">
        <v>17</v>
      </c>
      <c r="G237">
        <v>5</v>
      </c>
      <c r="H237">
        <v>16813</v>
      </c>
      <c r="I237">
        <f t="shared" si="6"/>
        <v>84065</v>
      </c>
      <c r="J237" t="str">
        <f t="shared" si="7"/>
        <v>Normal</v>
      </c>
      <c r="K237" t="str">
        <v>2024-02</v>
      </c>
      <c r="L237" t="str">
        <v>February</v>
      </c>
    </row>
    <row r="238" spans="1:12" x14ac:dyDescent="0.25">
      <c r="A238">
        <v>1237</v>
      </c>
      <c r="B238" t="s">
        <v>163</v>
      </c>
      <c r="C238" t="s">
        <v>19</v>
      </c>
      <c r="D238" t="s">
        <v>29</v>
      </c>
      <c r="E238" t="s">
        <v>16</v>
      </c>
      <c r="F238" t="s">
        <v>17</v>
      </c>
      <c r="G238">
        <v>10</v>
      </c>
      <c r="H238">
        <v>15627</v>
      </c>
      <c r="I238">
        <f t="shared" si="6"/>
        <v>156270</v>
      </c>
      <c r="J238" t="str">
        <f t="shared" si="7"/>
        <v>High</v>
      </c>
      <c r="K238" t="str">
        <v>2024-01</v>
      </c>
      <c r="L238" t="str">
        <v>January</v>
      </c>
    </row>
    <row r="239" spans="1:12" x14ac:dyDescent="0.25">
      <c r="A239">
        <v>1238</v>
      </c>
      <c r="B239" t="s">
        <v>164</v>
      </c>
      <c r="C239" t="s">
        <v>14</v>
      </c>
      <c r="D239" t="s">
        <v>31</v>
      </c>
      <c r="E239" t="s">
        <v>11</v>
      </c>
      <c r="F239" t="s">
        <v>12</v>
      </c>
      <c r="G239">
        <v>5</v>
      </c>
      <c r="H239">
        <v>25214</v>
      </c>
      <c r="I239">
        <f t="shared" si="6"/>
        <v>126070</v>
      </c>
      <c r="J239" t="str">
        <f t="shared" si="7"/>
        <v>High</v>
      </c>
      <c r="K239" t="str">
        <v>2024-03</v>
      </c>
      <c r="L239" t="str">
        <v>March</v>
      </c>
    </row>
    <row r="240" spans="1:12" x14ac:dyDescent="0.25">
      <c r="A240">
        <v>1239</v>
      </c>
      <c r="B240" t="s">
        <v>165</v>
      </c>
      <c r="C240" t="s">
        <v>14</v>
      </c>
      <c r="D240" t="s">
        <v>15</v>
      </c>
      <c r="E240" t="s">
        <v>11</v>
      </c>
      <c r="F240" t="s">
        <v>12</v>
      </c>
      <c r="G240">
        <v>4</v>
      </c>
      <c r="H240">
        <v>24176</v>
      </c>
      <c r="I240">
        <f t="shared" si="6"/>
        <v>96704</v>
      </c>
      <c r="J240" t="str">
        <f t="shared" si="7"/>
        <v>Normal</v>
      </c>
      <c r="K240" t="str">
        <v>2024-01</v>
      </c>
      <c r="L240" t="str">
        <v>January</v>
      </c>
    </row>
    <row r="241" spans="1:12" x14ac:dyDescent="0.25">
      <c r="A241">
        <v>1240</v>
      </c>
      <c r="B241" t="s">
        <v>155</v>
      </c>
      <c r="C241" t="s">
        <v>19</v>
      </c>
      <c r="D241" t="s">
        <v>15</v>
      </c>
      <c r="E241" t="s">
        <v>16</v>
      </c>
      <c r="F241" t="s">
        <v>17</v>
      </c>
      <c r="G241">
        <v>4</v>
      </c>
      <c r="H241">
        <v>13695</v>
      </c>
      <c r="I241">
        <f t="shared" si="6"/>
        <v>54780</v>
      </c>
      <c r="J241" t="str">
        <f t="shared" si="7"/>
        <v>Normal</v>
      </c>
      <c r="K241" t="str">
        <v>2024-06</v>
      </c>
      <c r="L241" t="str">
        <v>June</v>
      </c>
    </row>
    <row r="242" spans="1:12" x14ac:dyDescent="0.25">
      <c r="A242">
        <v>1241</v>
      </c>
      <c r="B242" t="s">
        <v>166</v>
      </c>
      <c r="C242" t="s">
        <v>27</v>
      </c>
      <c r="D242" t="s">
        <v>10</v>
      </c>
      <c r="E242" t="s">
        <v>20</v>
      </c>
      <c r="F242" t="s">
        <v>17</v>
      </c>
      <c r="G242">
        <v>9</v>
      </c>
      <c r="H242">
        <v>50981</v>
      </c>
      <c r="I242">
        <f t="shared" si="6"/>
        <v>458829</v>
      </c>
      <c r="J242" t="str">
        <f t="shared" si="7"/>
        <v>High</v>
      </c>
      <c r="K242" t="str">
        <v>2024-06</v>
      </c>
      <c r="L242" t="str">
        <v>June</v>
      </c>
    </row>
    <row r="243" spans="1:12" x14ac:dyDescent="0.25">
      <c r="A243">
        <v>1242</v>
      </c>
      <c r="B243" t="s">
        <v>63</v>
      </c>
      <c r="C243" t="s">
        <v>14</v>
      </c>
      <c r="D243" t="s">
        <v>49</v>
      </c>
      <c r="E243" t="s">
        <v>20</v>
      </c>
      <c r="F243" t="s">
        <v>17</v>
      </c>
      <c r="G243">
        <v>8</v>
      </c>
      <c r="H243">
        <v>52293</v>
      </c>
      <c r="I243">
        <f t="shared" si="6"/>
        <v>418344</v>
      </c>
      <c r="J243" t="str">
        <f t="shared" si="7"/>
        <v>High</v>
      </c>
      <c r="K243" t="str">
        <v>2024-05</v>
      </c>
      <c r="L243" t="str">
        <v>May</v>
      </c>
    </row>
    <row r="244" spans="1:12" x14ac:dyDescent="0.25">
      <c r="A244">
        <v>1243</v>
      </c>
      <c r="B244" t="s">
        <v>167</v>
      </c>
      <c r="C244" t="s">
        <v>14</v>
      </c>
      <c r="D244" t="s">
        <v>49</v>
      </c>
      <c r="E244" t="s">
        <v>20</v>
      </c>
      <c r="F244" t="s">
        <v>17</v>
      </c>
      <c r="G244">
        <v>1</v>
      </c>
      <c r="H244">
        <v>52236</v>
      </c>
      <c r="I244">
        <f t="shared" si="6"/>
        <v>52236</v>
      </c>
      <c r="J244" t="str">
        <f t="shared" si="7"/>
        <v>Normal</v>
      </c>
      <c r="K244" t="str">
        <v>2024-01</v>
      </c>
      <c r="L244" t="str">
        <v>January</v>
      </c>
    </row>
    <row r="245" spans="1:12" x14ac:dyDescent="0.25">
      <c r="A245">
        <v>1244</v>
      </c>
      <c r="B245" t="s">
        <v>125</v>
      </c>
      <c r="C245" t="s">
        <v>14</v>
      </c>
      <c r="D245" t="s">
        <v>42</v>
      </c>
      <c r="E245" t="s">
        <v>11</v>
      </c>
      <c r="F245" t="s">
        <v>12</v>
      </c>
      <c r="G245">
        <v>3</v>
      </c>
      <c r="H245">
        <v>23642</v>
      </c>
      <c r="I245">
        <f t="shared" si="6"/>
        <v>70926</v>
      </c>
      <c r="J245" t="str">
        <f t="shared" si="7"/>
        <v>Normal</v>
      </c>
      <c r="K245" t="str">
        <v>2024-05</v>
      </c>
      <c r="L245" t="str">
        <v>May</v>
      </c>
    </row>
    <row r="246" spans="1:12" x14ac:dyDescent="0.25">
      <c r="A246">
        <v>1245</v>
      </c>
      <c r="B246" t="s">
        <v>100</v>
      </c>
      <c r="C246" t="s">
        <v>9</v>
      </c>
      <c r="D246" t="s">
        <v>31</v>
      </c>
      <c r="E246" t="s">
        <v>35</v>
      </c>
      <c r="F246" t="s">
        <v>12</v>
      </c>
      <c r="G246">
        <v>10</v>
      </c>
      <c r="H246">
        <v>5490</v>
      </c>
      <c r="I246">
        <f t="shared" si="6"/>
        <v>54900</v>
      </c>
      <c r="J246" t="str">
        <f t="shared" si="7"/>
        <v>Normal</v>
      </c>
      <c r="K246" t="str">
        <v>2024-01</v>
      </c>
      <c r="L246" t="str">
        <v>January</v>
      </c>
    </row>
    <row r="247" spans="1:12" x14ac:dyDescent="0.25">
      <c r="A247">
        <v>1246</v>
      </c>
      <c r="B247" t="s">
        <v>21</v>
      </c>
      <c r="C247" t="s">
        <v>27</v>
      </c>
      <c r="D247" t="s">
        <v>10</v>
      </c>
      <c r="E247" t="s">
        <v>23</v>
      </c>
      <c r="F247" t="s">
        <v>17</v>
      </c>
      <c r="G247">
        <v>10</v>
      </c>
      <c r="H247">
        <v>32741</v>
      </c>
      <c r="I247">
        <f t="shared" si="6"/>
        <v>327410</v>
      </c>
      <c r="J247" t="str">
        <f t="shared" si="7"/>
        <v>High</v>
      </c>
      <c r="K247" t="str">
        <v>2024-04</v>
      </c>
      <c r="L247" t="str">
        <v>April</v>
      </c>
    </row>
    <row r="248" spans="1:12" x14ac:dyDescent="0.25">
      <c r="A248">
        <v>1247</v>
      </c>
      <c r="B248" t="s">
        <v>168</v>
      </c>
      <c r="C248" t="s">
        <v>14</v>
      </c>
      <c r="D248" t="s">
        <v>31</v>
      </c>
      <c r="E248" t="s">
        <v>11</v>
      </c>
      <c r="F248" t="s">
        <v>12</v>
      </c>
      <c r="G248">
        <v>10</v>
      </c>
      <c r="H248">
        <v>25990</v>
      </c>
      <c r="I248">
        <f t="shared" si="6"/>
        <v>259900</v>
      </c>
      <c r="J248" t="str">
        <f t="shared" si="7"/>
        <v>High</v>
      </c>
      <c r="K248" t="str">
        <v>2024-02</v>
      </c>
      <c r="L248" t="str">
        <v>February</v>
      </c>
    </row>
    <row r="249" spans="1:12" x14ac:dyDescent="0.25">
      <c r="A249">
        <v>1248</v>
      </c>
      <c r="B249" t="s">
        <v>73</v>
      </c>
      <c r="C249" t="s">
        <v>9</v>
      </c>
      <c r="D249" t="s">
        <v>10</v>
      </c>
      <c r="E249" t="s">
        <v>35</v>
      </c>
      <c r="F249" t="s">
        <v>12</v>
      </c>
      <c r="G249">
        <v>1</v>
      </c>
      <c r="H249">
        <v>7916</v>
      </c>
      <c r="I249">
        <f t="shared" si="6"/>
        <v>7916</v>
      </c>
      <c r="J249" t="str">
        <f t="shared" si="7"/>
        <v>Normal</v>
      </c>
      <c r="K249" t="str">
        <v>2024-03</v>
      </c>
      <c r="L249" t="str">
        <v>March</v>
      </c>
    </row>
    <row r="250" spans="1:12" x14ac:dyDescent="0.25">
      <c r="A250">
        <v>1249</v>
      </c>
      <c r="B250" t="s">
        <v>90</v>
      </c>
      <c r="C250" t="s">
        <v>9</v>
      </c>
      <c r="D250" t="s">
        <v>31</v>
      </c>
      <c r="E250" t="s">
        <v>16</v>
      </c>
      <c r="F250" t="s">
        <v>17</v>
      </c>
      <c r="G250">
        <v>10</v>
      </c>
      <c r="H250">
        <v>13502</v>
      </c>
      <c r="I250">
        <f t="shared" si="6"/>
        <v>135020</v>
      </c>
      <c r="J250" t="str">
        <f t="shared" si="7"/>
        <v>High</v>
      </c>
      <c r="K250" t="str">
        <v>2024-02</v>
      </c>
      <c r="L250" t="str">
        <v>February</v>
      </c>
    </row>
    <row r="251" spans="1:12" x14ac:dyDescent="0.25">
      <c r="A251">
        <v>1250</v>
      </c>
      <c r="B251" t="s">
        <v>169</v>
      </c>
      <c r="C251" t="s">
        <v>27</v>
      </c>
      <c r="D251" t="s">
        <v>31</v>
      </c>
      <c r="E251" t="s">
        <v>16</v>
      </c>
      <c r="F251" t="s">
        <v>17</v>
      </c>
      <c r="G251">
        <v>8</v>
      </c>
      <c r="H251">
        <v>15999</v>
      </c>
      <c r="I251">
        <f t="shared" si="6"/>
        <v>127992</v>
      </c>
      <c r="J251" t="str">
        <f t="shared" si="7"/>
        <v>High</v>
      </c>
      <c r="K251" t="str">
        <v>2024-02</v>
      </c>
      <c r="L251" t="str">
        <v>February</v>
      </c>
    </row>
    <row r="252" spans="1:12" x14ac:dyDescent="0.25">
      <c r="A252">
        <v>1251</v>
      </c>
      <c r="B252" t="s">
        <v>115</v>
      </c>
      <c r="C252" t="s">
        <v>27</v>
      </c>
      <c r="D252" t="s">
        <v>10</v>
      </c>
      <c r="E252" t="s">
        <v>11</v>
      </c>
      <c r="F252" t="s">
        <v>12</v>
      </c>
      <c r="G252">
        <v>2</v>
      </c>
      <c r="H252">
        <v>24861</v>
      </c>
      <c r="I252">
        <f t="shared" si="6"/>
        <v>49722</v>
      </c>
      <c r="J252" t="str">
        <f t="shared" si="7"/>
        <v>Normal</v>
      </c>
      <c r="K252" t="str">
        <v>2024-02</v>
      </c>
      <c r="L252" t="str">
        <v>February</v>
      </c>
    </row>
    <row r="253" spans="1:12" x14ac:dyDescent="0.25">
      <c r="A253">
        <v>1252</v>
      </c>
      <c r="B253" t="s">
        <v>170</v>
      </c>
      <c r="C253" t="s">
        <v>14</v>
      </c>
      <c r="D253" t="s">
        <v>15</v>
      </c>
      <c r="E253" t="s">
        <v>25</v>
      </c>
      <c r="F253" t="s">
        <v>17</v>
      </c>
      <c r="G253">
        <v>6</v>
      </c>
      <c r="H253">
        <v>18638</v>
      </c>
      <c r="I253">
        <f t="shared" si="6"/>
        <v>111828</v>
      </c>
      <c r="J253" t="str">
        <f t="shared" si="7"/>
        <v>High</v>
      </c>
      <c r="K253" t="str">
        <v>2024-06</v>
      </c>
      <c r="L253" t="str">
        <v>June</v>
      </c>
    </row>
    <row r="254" spans="1:12" x14ac:dyDescent="0.25">
      <c r="A254">
        <v>1253</v>
      </c>
      <c r="B254" t="s">
        <v>171</v>
      </c>
      <c r="C254" t="s">
        <v>9</v>
      </c>
      <c r="D254" t="s">
        <v>15</v>
      </c>
      <c r="E254" t="s">
        <v>11</v>
      </c>
      <c r="F254" t="s">
        <v>12</v>
      </c>
      <c r="G254">
        <v>1</v>
      </c>
      <c r="H254">
        <v>24283</v>
      </c>
      <c r="I254">
        <f t="shared" si="6"/>
        <v>24283</v>
      </c>
      <c r="J254" t="str">
        <f t="shared" si="7"/>
        <v>Normal</v>
      </c>
      <c r="K254" t="str">
        <v>2024-05</v>
      </c>
      <c r="L254" t="str">
        <v>May</v>
      </c>
    </row>
    <row r="255" spans="1:12" x14ac:dyDescent="0.25">
      <c r="A255">
        <v>1254</v>
      </c>
      <c r="B255" t="s">
        <v>172</v>
      </c>
      <c r="C255" t="s">
        <v>14</v>
      </c>
      <c r="D255" t="s">
        <v>10</v>
      </c>
      <c r="E255" t="s">
        <v>25</v>
      </c>
      <c r="F255" t="s">
        <v>17</v>
      </c>
      <c r="G255">
        <v>1</v>
      </c>
      <c r="H255">
        <v>19362</v>
      </c>
      <c r="I255">
        <f t="shared" si="6"/>
        <v>19362</v>
      </c>
      <c r="J255" t="str">
        <f t="shared" si="7"/>
        <v>Normal</v>
      </c>
      <c r="K255" t="str">
        <v>2024-03</v>
      </c>
      <c r="L255" t="str">
        <v>March</v>
      </c>
    </row>
    <row r="256" spans="1:12" x14ac:dyDescent="0.25">
      <c r="A256">
        <v>1255</v>
      </c>
      <c r="B256" t="s">
        <v>129</v>
      </c>
      <c r="C256" t="s">
        <v>14</v>
      </c>
      <c r="D256" t="s">
        <v>10</v>
      </c>
      <c r="E256" t="s">
        <v>35</v>
      </c>
      <c r="F256" t="s">
        <v>12</v>
      </c>
      <c r="G256">
        <v>6</v>
      </c>
      <c r="H256">
        <v>6196</v>
      </c>
      <c r="I256">
        <f t="shared" si="6"/>
        <v>37176</v>
      </c>
      <c r="J256" t="str">
        <f t="shared" si="7"/>
        <v>Normal</v>
      </c>
      <c r="K256" t="str">
        <v>2024-06</v>
      </c>
      <c r="L256" t="str">
        <v>June</v>
      </c>
    </row>
    <row r="257" spans="1:12" x14ac:dyDescent="0.25">
      <c r="A257">
        <v>1256</v>
      </c>
      <c r="B257" t="s">
        <v>173</v>
      </c>
      <c r="C257" t="s">
        <v>14</v>
      </c>
      <c r="D257" t="s">
        <v>31</v>
      </c>
      <c r="E257" t="s">
        <v>23</v>
      </c>
      <c r="F257" t="s">
        <v>17</v>
      </c>
      <c r="G257">
        <v>2</v>
      </c>
      <c r="H257">
        <v>29837</v>
      </c>
      <c r="I257">
        <f t="shared" si="6"/>
        <v>59674</v>
      </c>
      <c r="J257" t="str">
        <f t="shared" si="7"/>
        <v>Normal</v>
      </c>
      <c r="K257" t="str">
        <v>2024-04</v>
      </c>
      <c r="L257" t="str">
        <v>April</v>
      </c>
    </row>
    <row r="258" spans="1:12" x14ac:dyDescent="0.25">
      <c r="A258">
        <v>1257</v>
      </c>
      <c r="B258" t="s">
        <v>105</v>
      </c>
      <c r="C258" t="s">
        <v>27</v>
      </c>
      <c r="D258" t="s">
        <v>15</v>
      </c>
      <c r="E258" t="s">
        <v>32</v>
      </c>
      <c r="F258" t="s">
        <v>12</v>
      </c>
      <c r="G258">
        <v>2</v>
      </c>
      <c r="H258">
        <v>615</v>
      </c>
      <c r="I258">
        <f t="shared" si="6"/>
        <v>1230</v>
      </c>
      <c r="J258" t="str">
        <f t="shared" si="7"/>
        <v>Normal</v>
      </c>
      <c r="K258" t="str">
        <v>2024-03</v>
      </c>
      <c r="L258" t="str">
        <v>March</v>
      </c>
    </row>
    <row r="259" spans="1:12" x14ac:dyDescent="0.25">
      <c r="A259">
        <v>1258</v>
      </c>
      <c r="B259" t="s">
        <v>174</v>
      </c>
      <c r="C259" t="s">
        <v>9</v>
      </c>
      <c r="D259" t="s">
        <v>29</v>
      </c>
      <c r="E259" t="s">
        <v>32</v>
      </c>
      <c r="F259" t="s">
        <v>12</v>
      </c>
      <c r="G259">
        <v>10</v>
      </c>
      <c r="H259">
        <v>4210</v>
      </c>
      <c r="I259">
        <f t="shared" ref="I259:I301" si="8">H259*G259</f>
        <v>42100</v>
      </c>
      <c r="J259" t="str">
        <f t="shared" ref="J259:J301" si="9">IF(I259&gt;100000,"High","Normal")</f>
        <v>Normal</v>
      </c>
      <c r="K259" t="str">
        <v>2024-02</v>
      </c>
      <c r="L259" t="str">
        <v>February</v>
      </c>
    </row>
    <row r="260" spans="1:12" x14ac:dyDescent="0.25">
      <c r="A260">
        <v>1259</v>
      </c>
      <c r="B260" t="s">
        <v>44</v>
      </c>
      <c r="C260" t="s">
        <v>19</v>
      </c>
      <c r="D260" t="s">
        <v>31</v>
      </c>
      <c r="E260" t="s">
        <v>20</v>
      </c>
      <c r="F260" t="s">
        <v>17</v>
      </c>
      <c r="G260">
        <v>8</v>
      </c>
      <c r="H260">
        <v>48042</v>
      </c>
      <c r="I260">
        <f t="shared" si="8"/>
        <v>384336</v>
      </c>
      <c r="J260" t="str">
        <f t="shared" si="9"/>
        <v>High</v>
      </c>
      <c r="K260" t="str">
        <v>2024-01</v>
      </c>
      <c r="L260" t="str">
        <v>January</v>
      </c>
    </row>
    <row r="261" spans="1:12" x14ac:dyDescent="0.25">
      <c r="A261">
        <v>1260</v>
      </c>
      <c r="B261" t="s">
        <v>46</v>
      </c>
      <c r="C261" t="s">
        <v>27</v>
      </c>
      <c r="D261" t="s">
        <v>42</v>
      </c>
      <c r="E261" t="s">
        <v>11</v>
      </c>
      <c r="F261" t="s">
        <v>12</v>
      </c>
      <c r="G261">
        <v>9</v>
      </c>
      <c r="H261">
        <v>27828</v>
      </c>
      <c r="I261">
        <f t="shared" si="8"/>
        <v>250452</v>
      </c>
      <c r="J261" t="str">
        <f t="shared" si="9"/>
        <v>High</v>
      </c>
      <c r="K261" t="str">
        <v>2024-04</v>
      </c>
      <c r="L261" t="str">
        <v>April</v>
      </c>
    </row>
    <row r="262" spans="1:12" x14ac:dyDescent="0.25">
      <c r="A262">
        <v>1261</v>
      </c>
      <c r="B262" t="s">
        <v>39</v>
      </c>
      <c r="C262" t="s">
        <v>27</v>
      </c>
      <c r="D262" t="s">
        <v>49</v>
      </c>
      <c r="E262" t="s">
        <v>16</v>
      </c>
      <c r="F262" t="s">
        <v>17</v>
      </c>
      <c r="G262">
        <v>10</v>
      </c>
      <c r="H262">
        <v>17322</v>
      </c>
      <c r="I262">
        <f t="shared" si="8"/>
        <v>173220</v>
      </c>
      <c r="J262" t="str">
        <f t="shared" si="9"/>
        <v>High</v>
      </c>
      <c r="K262" t="str">
        <v>2024-06</v>
      </c>
      <c r="L262" t="str">
        <v>June</v>
      </c>
    </row>
    <row r="263" spans="1:12" x14ac:dyDescent="0.25">
      <c r="A263">
        <v>1262</v>
      </c>
      <c r="B263" t="s">
        <v>125</v>
      </c>
      <c r="C263" t="s">
        <v>19</v>
      </c>
      <c r="D263" t="s">
        <v>10</v>
      </c>
      <c r="E263" t="s">
        <v>16</v>
      </c>
      <c r="F263" t="s">
        <v>17</v>
      </c>
      <c r="G263">
        <v>9</v>
      </c>
      <c r="H263">
        <v>13478</v>
      </c>
      <c r="I263">
        <f t="shared" si="8"/>
        <v>121302</v>
      </c>
      <c r="J263" t="str">
        <f t="shared" si="9"/>
        <v>High</v>
      </c>
      <c r="K263" t="str">
        <v>2024-05</v>
      </c>
      <c r="L263" t="str">
        <v>May</v>
      </c>
    </row>
    <row r="264" spans="1:12" x14ac:dyDescent="0.25">
      <c r="A264">
        <v>1263</v>
      </c>
      <c r="B264" t="s">
        <v>175</v>
      </c>
      <c r="C264" t="s">
        <v>19</v>
      </c>
      <c r="D264" t="s">
        <v>10</v>
      </c>
      <c r="E264" t="s">
        <v>25</v>
      </c>
      <c r="F264" t="s">
        <v>17</v>
      </c>
      <c r="G264">
        <v>7</v>
      </c>
      <c r="H264">
        <v>21567</v>
      </c>
      <c r="I264">
        <f t="shared" si="8"/>
        <v>150969</v>
      </c>
      <c r="J264" t="str">
        <f t="shared" si="9"/>
        <v>High</v>
      </c>
      <c r="K264" t="str">
        <v>2024-06</v>
      </c>
      <c r="L264" t="str">
        <v>June</v>
      </c>
    </row>
    <row r="265" spans="1:12" x14ac:dyDescent="0.25">
      <c r="A265">
        <v>1264</v>
      </c>
      <c r="B265" t="s">
        <v>117</v>
      </c>
      <c r="C265" t="s">
        <v>9</v>
      </c>
      <c r="D265" t="s">
        <v>15</v>
      </c>
      <c r="E265" t="s">
        <v>25</v>
      </c>
      <c r="F265" t="s">
        <v>17</v>
      </c>
      <c r="G265">
        <v>9</v>
      </c>
      <c r="H265">
        <v>18569</v>
      </c>
      <c r="I265">
        <f t="shared" si="8"/>
        <v>167121</v>
      </c>
      <c r="J265" t="str">
        <f t="shared" si="9"/>
        <v>High</v>
      </c>
      <c r="K265" t="str">
        <v>2024-04</v>
      </c>
      <c r="L265" t="str">
        <v>April</v>
      </c>
    </row>
    <row r="266" spans="1:12" x14ac:dyDescent="0.25">
      <c r="A266">
        <v>1265</v>
      </c>
      <c r="B266" t="s">
        <v>176</v>
      </c>
      <c r="C266" t="s">
        <v>9</v>
      </c>
      <c r="D266" t="s">
        <v>10</v>
      </c>
      <c r="E266" t="s">
        <v>16</v>
      </c>
      <c r="F266" t="s">
        <v>17</v>
      </c>
      <c r="G266">
        <v>3</v>
      </c>
      <c r="H266">
        <v>15364</v>
      </c>
      <c r="I266">
        <f t="shared" si="8"/>
        <v>46092</v>
      </c>
      <c r="J266" t="str">
        <f t="shared" si="9"/>
        <v>Normal</v>
      </c>
      <c r="K266" t="str">
        <v>2024-03</v>
      </c>
      <c r="L266" t="str">
        <v>March</v>
      </c>
    </row>
    <row r="267" spans="1:12" x14ac:dyDescent="0.25">
      <c r="A267">
        <v>1266</v>
      </c>
      <c r="B267" t="s">
        <v>13</v>
      </c>
      <c r="C267" t="s">
        <v>19</v>
      </c>
      <c r="D267" t="s">
        <v>31</v>
      </c>
      <c r="E267" t="s">
        <v>23</v>
      </c>
      <c r="F267" t="s">
        <v>17</v>
      </c>
      <c r="G267">
        <v>9</v>
      </c>
      <c r="H267">
        <v>30303</v>
      </c>
      <c r="I267">
        <f t="shared" si="8"/>
        <v>272727</v>
      </c>
      <c r="J267" t="str">
        <f t="shared" si="9"/>
        <v>High</v>
      </c>
      <c r="K267" t="str">
        <v>2024-04</v>
      </c>
      <c r="L267" t="str">
        <v>April</v>
      </c>
    </row>
    <row r="268" spans="1:12" x14ac:dyDescent="0.25">
      <c r="A268">
        <v>1267</v>
      </c>
      <c r="B268" t="s">
        <v>18</v>
      </c>
      <c r="C268" t="s">
        <v>9</v>
      </c>
      <c r="D268" t="s">
        <v>42</v>
      </c>
      <c r="E268" t="s">
        <v>16</v>
      </c>
      <c r="F268" t="s">
        <v>17</v>
      </c>
      <c r="G268">
        <v>1</v>
      </c>
      <c r="H268">
        <v>15673</v>
      </c>
      <c r="I268">
        <f t="shared" si="8"/>
        <v>15673</v>
      </c>
      <c r="J268" t="str">
        <f t="shared" si="9"/>
        <v>Normal</v>
      </c>
      <c r="K268" t="str">
        <v>2024-02</v>
      </c>
      <c r="L268" t="str">
        <v>February</v>
      </c>
    </row>
    <row r="269" spans="1:12" x14ac:dyDescent="0.25">
      <c r="A269">
        <v>1268</v>
      </c>
      <c r="B269" t="s">
        <v>177</v>
      </c>
      <c r="C269" t="s">
        <v>9</v>
      </c>
      <c r="D269" t="s">
        <v>42</v>
      </c>
      <c r="E269" t="s">
        <v>32</v>
      </c>
      <c r="F269" t="s">
        <v>12</v>
      </c>
      <c r="G269">
        <v>2</v>
      </c>
      <c r="H269">
        <v>1439</v>
      </c>
      <c r="I269">
        <f t="shared" si="8"/>
        <v>2878</v>
      </c>
      <c r="J269" t="str">
        <f t="shared" si="9"/>
        <v>Normal</v>
      </c>
      <c r="K269" t="str">
        <v>2024-05</v>
      </c>
      <c r="L269" t="str">
        <v>May</v>
      </c>
    </row>
    <row r="270" spans="1:12" x14ac:dyDescent="0.25">
      <c r="A270">
        <v>1269</v>
      </c>
      <c r="B270" t="s">
        <v>58</v>
      </c>
      <c r="C270" t="s">
        <v>19</v>
      </c>
      <c r="D270" t="s">
        <v>49</v>
      </c>
      <c r="E270" t="s">
        <v>16</v>
      </c>
      <c r="F270" t="s">
        <v>17</v>
      </c>
      <c r="G270">
        <v>10</v>
      </c>
      <c r="H270">
        <v>14673</v>
      </c>
      <c r="I270">
        <f t="shared" si="8"/>
        <v>146730</v>
      </c>
      <c r="J270" t="str">
        <f t="shared" si="9"/>
        <v>High</v>
      </c>
      <c r="K270" t="str">
        <v>2024-02</v>
      </c>
      <c r="L270" t="str">
        <v>February</v>
      </c>
    </row>
    <row r="271" spans="1:12" x14ac:dyDescent="0.25">
      <c r="A271">
        <v>1270</v>
      </c>
      <c r="B271" t="s">
        <v>43</v>
      </c>
      <c r="C271" t="s">
        <v>27</v>
      </c>
      <c r="D271" t="s">
        <v>49</v>
      </c>
      <c r="E271" t="s">
        <v>32</v>
      </c>
      <c r="F271" t="s">
        <v>12</v>
      </c>
      <c r="G271">
        <v>8</v>
      </c>
      <c r="H271">
        <v>3788</v>
      </c>
      <c r="I271">
        <f t="shared" si="8"/>
        <v>30304</v>
      </c>
      <c r="J271" t="str">
        <f t="shared" si="9"/>
        <v>Normal</v>
      </c>
      <c r="K271" t="str">
        <v>2024-05</v>
      </c>
      <c r="L271" t="str">
        <v>May</v>
      </c>
    </row>
    <row r="272" spans="1:12" x14ac:dyDescent="0.25">
      <c r="A272">
        <v>1271</v>
      </c>
      <c r="B272" t="s">
        <v>83</v>
      </c>
      <c r="C272" t="s">
        <v>9</v>
      </c>
      <c r="D272" t="s">
        <v>10</v>
      </c>
      <c r="E272" t="s">
        <v>35</v>
      </c>
      <c r="F272" t="s">
        <v>12</v>
      </c>
      <c r="G272">
        <v>4</v>
      </c>
      <c r="H272">
        <v>6901</v>
      </c>
      <c r="I272">
        <f t="shared" si="8"/>
        <v>27604</v>
      </c>
      <c r="J272" t="str">
        <f t="shared" si="9"/>
        <v>Normal</v>
      </c>
      <c r="K272" t="str">
        <v>2024-03</v>
      </c>
      <c r="L272" t="str">
        <v>March</v>
      </c>
    </row>
    <row r="273" spans="1:12" x14ac:dyDescent="0.25">
      <c r="A273">
        <v>1272</v>
      </c>
      <c r="B273" t="s">
        <v>72</v>
      </c>
      <c r="C273" t="s">
        <v>19</v>
      </c>
      <c r="D273" t="s">
        <v>42</v>
      </c>
      <c r="E273" t="s">
        <v>20</v>
      </c>
      <c r="F273" t="s">
        <v>17</v>
      </c>
      <c r="G273">
        <v>4</v>
      </c>
      <c r="H273">
        <v>50750</v>
      </c>
      <c r="I273">
        <f t="shared" si="8"/>
        <v>203000</v>
      </c>
      <c r="J273" t="str">
        <f t="shared" si="9"/>
        <v>High</v>
      </c>
      <c r="K273" t="str">
        <v>2024-03</v>
      </c>
      <c r="L273" t="str">
        <v>March</v>
      </c>
    </row>
    <row r="274" spans="1:12" x14ac:dyDescent="0.25">
      <c r="A274">
        <v>1273</v>
      </c>
      <c r="B274" t="s">
        <v>170</v>
      </c>
      <c r="C274" t="s">
        <v>9</v>
      </c>
      <c r="D274" t="s">
        <v>15</v>
      </c>
      <c r="E274" t="s">
        <v>32</v>
      </c>
      <c r="F274" t="s">
        <v>12</v>
      </c>
      <c r="G274">
        <v>7</v>
      </c>
      <c r="H274">
        <v>2344</v>
      </c>
      <c r="I274">
        <f t="shared" si="8"/>
        <v>16408</v>
      </c>
      <c r="J274" t="str">
        <f t="shared" si="9"/>
        <v>Normal</v>
      </c>
      <c r="K274" t="str">
        <v>2024-06</v>
      </c>
      <c r="L274" t="str">
        <v>June</v>
      </c>
    </row>
    <row r="275" spans="1:12" x14ac:dyDescent="0.25">
      <c r="A275">
        <v>1274</v>
      </c>
      <c r="B275" t="s">
        <v>70</v>
      </c>
      <c r="C275" t="s">
        <v>19</v>
      </c>
      <c r="D275" t="s">
        <v>31</v>
      </c>
      <c r="E275" t="s">
        <v>32</v>
      </c>
      <c r="F275" t="s">
        <v>12</v>
      </c>
      <c r="G275">
        <v>1</v>
      </c>
      <c r="H275">
        <v>2026</v>
      </c>
      <c r="I275">
        <f t="shared" si="8"/>
        <v>2026</v>
      </c>
      <c r="J275" t="str">
        <f t="shared" si="9"/>
        <v>Normal</v>
      </c>
      <c r="K275" t="str">
        <v>2024-03</v>
      </c>
      <c r="L275" t="str">
        <v>March</v>
      </c>
    </row>
    <row r="276" spans="1:12" x14ac:dyDescent="0.25">
      <c r="A276">
        <v>1275</v>
      </c>
      <c r="B276" t="s">
        <v>36</v>
      </c>
      <c r="C276" t="s">
        <v>19</v>
      </c>
      <c r="D276" t="s">
        <v>42</v>
      </c>
      <c r="E276" t="s">
        <v>23</v>
      </c>
      <c r="F276" t="s">
        <v>17</v>
      </c>
      <c r="G276">
        <v>7</v>
      </c>
      <c r="H276">
        <v>31101</v>
      </c>
      <c r="I276">
        <f t="shared" si="8"/>
        <v>217707</v>
      </c>
      <c r="J276" t="str">
        <f t="shared" si="9"/>
        <v>High</v>
      </c>
      <c r="K276" t="str">
        <v>2024-03</v>
      </c>
      <c r="L276" t="str">
        <v>March</v>
      </c>
    </row>
    <row r="277" spans="1:12" x14ac:dyDescent="0.25">
      <c r="A277">
        <v>1276</v>
      </c>
      <c r="B277" t="s">
        <v>103</v>
      </c>
      <c r="C277" t="s">
        <v>9</v>
      </c>
      <c r="D277" t="s">
        <v>15</v>
      </c>
      <c r="E277" t="s">
        <v>35</v>
      </c>
      <c r="F277" t="s">
        <v>12</v>
      </c>
      <c r="G277">
        <v>6</v>
      </c>
      <c r="H277">
        <v>8783</v>
      </c>
      <c r="I277">
        <f t="shared" si="8"/>
        <v>52698</v>
      </c>
      <c r="J277" t="str">
        <f t="shared" si="9"/>
        <v>Normal</v>
      </c>
      <c r="K277" t="str">
        <v>2024-05</v>
      </c>
      <c r="L277" t="str">
        <v>May</v>
      </c>
    </row>
    <row r="278" spans="1:12" x14ac:dyDescent="0.25">
      <c r="A278">
        <v>1277</v>
      </c>
      <c r="B278" t="s">
        <v>51</v>
      </c>
      <c r="C278" t="s">
        <v>14</v>
      </c>
      <c r="D278" t="s">
        <v>10</v>
      </c>
      <c r="E278" t="s">
        <v>16</v>
      </c>
      <c r="F278" t="s">
        <v>17</v>
      </c>
      <c r="G278">
        <v>1</v>
      </c>
      <c r="H278">
        <v>14331</v>
      </c>
      <c r="I278">
        <f t="shared" si="8"/>
        <v>14331</v>
      </c>
      <c r="J278" t="str">
        <f t="shared" si="9"/>
        <v>Normal</v>
      </c>
      <c r="K278" t="str">
        <v>2024-01</v>
      </c>
      <c r="L278" t="str">
        <v>January</v>
      </c>
    </row>
    <row r="279" spans="1:12" x14ac:dyDescent="0.25">
      <c r="A279">
        <v>1278</v>
      </c>
      <c r="B279" t="s">
        <v>161</v>
      </c>
      <c r="C279" t="s">
        <v>9</v>
      </c>
      <c r="D279" t="s">
        <v>49</v>
      </c>
      <c r="E279" t="s">
        <v>25</v>
      </c>
      <c r="F279" t="s">
        <v>17</v>
      </c>
      <c r="G279">
        <v>10</v>
      </c>
      <c r="H279">
        <v>18070</v>
      </c>
      <c r="I279">
        <f t="shared" si="8"/>
        <v>180700</v>
      </c>
      <c r="J279" t="str">
        <f t="shared" si="9"/>
        <v>High</v>
      </c>
      <c r="K279" t="str">
        <v>2024-06</v>
      </c>
      <c r="L279" t="str">
        <v>June</v>
      </c>
    </row>
    <row r="280" spans="1:12" x14ac:dyDescent="0.25">
      <c r="A280">
        <v>1279</v>
      </c>
      <c r="B280" t="s">
        <v>33</v>
      </c>
      <c r="C280" t="s">
        <v>14</v>
      </c>
      <c r="D280" t="s">
        <v>42</v>
      </c>
      <c r="E280" t="s">
        <v>25</v>
      </c>
      <c r="F280" t="s">
        <v>17</v>
      </c>
      <c r="G280">
        <v>1</v>
      </c>
      <c r="H280">
        <v>19829</v>
      </c>
      <c r="I280">
        <f t="shared" si="8"/>
        <v>19829</v>
      </c>
      <c r="J280" t="str">
        <f t="shared" si="9"/>
        <v>Normal</v>
      </c>
      <c r="K280" t="str">
        <v>2024-06</v>
      </c>
      <c r="L280" t="str">
        <v>June</v>
      </c>
    </row>
    <row r="281" spans="1:12" x14ac:dyDescent="0.25">
      <c r="A281">
        <v>1280</v>
      </c>
      <c r="B281" t="s">
        <v>123</v>
      </c>
      <c r="C281" t="s">
        <v>19</v>
      </c>
      <c r="D281" t="s">
        <v>15</v>
      </c>
      <c r="E281" t="s">
        <v>35</v>
      </c>
      <c r="F281" t="s">
        <v>12</v>
      </c>
      <c r="G281">
        <v>1</v>
      </c>
      <c r="H281">
        <v>6787</v>
      </c>
      <c r="I281">
        <f t="shared" si="8"/>
        <v>6787</v>
      </c>
      <c r="J281" t="str">
        <f t="shared" si="9"/>
        <v>Normal</v>
      </c>
      <c r="K281" t="str">
        <v>2024-03</v>
      </c>
      <c r="L281" t="str">
        <v>March</v>
      </c>
    </row>
    <row r="282" spans="1:12" x14ac:dyDescent="0.25">
      <c r="A282">
        <v>1281</v>
      </c>
      <c r="B282" t="s">
        <v>86</v>
      </c>
      <c r="C282" t="s">
        <v>19</v>
      </c>
      <c r="D282" t="s">
        <v>31</v>
      </c>
      <c r="E282" t="s">
        <v>25</v>
      </c>
      <c r="F282" t="s">
        <v>17</v>
      </c>
      <c r="G282">
        <v>5</v>
      </c>
      <c r="H282">
        <v>21520</v>
      </c>
      <c r="I282">
        <f t="shared" si="8"/>
        <v>107600</v>
      </c>
      <c r="J282" t="str">
        <f t="shared" si="9"/>
        <v>High</v>
      </c>
      <c r="K282" t="str">
        <v>2024-05</v>
      </c>
      <c r="L282" t="str">
        <v>May</v>
      </c>
    </row>
    <row r="283" spans="1:12" x14ac:dyDescent="0.25">
      <c r="A283">
        <v>1282</v>
      </c>
      <c r="B283" t="s">
        <v>28</v>
      </c>
      <c r="C283" t="s">
        <v>19</v>
      </c>
      <c r="D283" t="s">
        <v>15</v>
      </c>
      <c r="E283" t="s">
        <v>16</v>
      </c>
      <c r="F283" t="s">
        <v>17</v>
      </c>
      <c r="G283">
        <v>3</v>
      </c>
      <c r="H283">
        <v>13163</v>
      </c>
      <c r="I283">
        <f t="shared" si="8"/>
        <v>39489</v>
      </c>
      <c r="J283" t="str">
        <f t="shared" si="9"/>
        <v>Normal</v>
      </c>
      <c r="K283" t="str">
        <v>2024-01</v>
      </c>
      <c r="L283" t="str">
        <v>January</v>
      </c>
    </row>
    <row r="284" spans="1:12" x14ac:dyDescent="0.25">
      <c r="A284">
        <v>1283</v>
      </c>
      <c r="B284" t="s">
        <v>103</v>
      </c>
      <c r="C284" t="s">
        <v>9</v>
      </c>
      <c r="D284" t="s">
        <v>15</v>
      </c>
      <c r="E284" t="s">
        <v>20</v>
      </c>
      <c r="F284" t="s">
        <v>17</v>
      </c>
      <c r="G284">
        <v>1</v>
      </c>
      <c r="H284">
        <v>52143</v>
      </c>
      <c r="I284">
        <f t="shared" si="8"/>
        <v>52143</v>
      </c>
      <c r="J284" t="str">
        <f t="shared" si="9"/>
        <v>Normal</v>
      </c>
      <c r="K284" t="str">
        <v>2024-05</v>
      </c>
      <c r="L284" t="str">
        <v>May</v>
      </c>
    </row>
    <row r="285" spans="1:12" x14ac:dyDescent="0.25">
      <c r="A285">
        <v>1284</v>
      </c>
      <c r="B285" t="s">
        <v>100</v>
      </c>
      <c r="C285" t="s">
        <v>9</v>
      </c>
      <c r="D285" t="s">
        <v>15</v>
      </c>
      <c r="E285" t="s">
        <v>35</v>
      </c>
      <c r="F285" t="s">
        <v>12</v>
      </c>
      <c r="G285">
        <v>4</v>
      </c>
      <c r="H285">
        <v>5607</v>
      </c>
      <c r="I285">
        <f t="shared" si="8"/>
        <v>22428</v>
      </c>
      <c r="J285" t="str">
        <f t="shared" si="9"/>
        <v>Normal</v>
      </c>
      <c r="K285" t="str">
        <v>2024-01</v>
      </c>
      <c r="L285" t="str">
        <v>January</v>
      </c>
    </row>
    <row r="286" spans="1:12" x14ac:dyDescent="0.25">
      <c r="A286">
        <v>1285</v>
      </c>
      <c r="B286" t="s">
        <v>102</v>
      </c>
      <c r="C286" t="s">
        <v>27</v>
      </c>
      <c r="D286" t="s">
        <v>42</v>
      </c>
      <c r="E286" t="s">
        <v>23</v>
      </c>
      <c r="F286" t="s">
        <v>17</v>
      </c>
      <c r="G286">
        <v>3</v>
      </c>
      <c r="H286">
        <v>31941</v>
      </c>
      <c r="I286">
        <f t="shared" si="8"/>
        <v>95823</v>
      </c>
      <c r="J286" t="str">
        <f t="shared" si="9"/>
        <v>Normal</v>
      </c>
      <c r="K286" t="str">
        <v>2024-02</v>
      </c>
      <c r="L286" t="str">
        <v>February</v>
      </c>
    </row>
    <row r="287" spans="1:12" x14ac:dyDescent="0.25">
      <c r="A287">
        <v>1286</v>
      </c>
      <c r="B287" t="s">
        <v>178</v>
      </c>
      <c r="C287" t="s">
        <v>14</v>
      </c>
      <c r="D287" t="s">
        <v>15</v>
      </c>
      <c r="E287" t="s">
        <v>35</v>
      </c>
      <c r="F287" t="s">
        <v>12</v>
      </c>
      <c r="G287">
        <v>10</v>
      </c>
      <c r="H287">
        <v>8357</v>
      </c>
      <c r="I287">
        <f t="shared" si="8"/>
        <v>83570</v>
      </c>
      <c r="J287" t="str">
        <f t="shared" si="9"/>
        <v>Normal</v>
      </c>
      <c r="K287" t="str">
        <v>2024-05</v>
      </c>
      <c r="L287" t="str">
        <v>May</v>
      </c>
    </row>
    <row r="288" spans="1:12" x14ac:dyDescent="0.25">
      <c r="A288">
        <v>1287</v>
      </c>
      <c r="B288" t="s">
        <v>103</v>
      </c>
      <c r="C288" t="s">
        <v>9</v>
      </c>
      <c r="D288" t="s">
        <v>42</v>
      </c>
      <c r="E288" t="s">
        <v>11</v>
      </c>
      <c r="F288" t="s">
        <v>12</v>
      </c>
      <c r="G288">
        <v>2</v>
      </c>
      <c r="H288">
        <v>25927</v>
      </c>
      <c r="I288">
        <f t="shared" si="8"/>
        <v>51854</v>
      </c>
      <c r="J288" t="str">
        <f t="shared" si="9"/>
        <v>Normal</v>
      </c>
      <c r="K288" t="str">
        <v>2024-05</v>
      </c>
      <c r="L288" t="str">
        <v>May</v>
      </c>
    </row>
    <row r="289" spans="1:12" x14ac:dyDescent="0.25">
      <c r="A289">
        <v>1288</v>
      </c>
      <c r="B289" t="s">
        <v>166</v>
      </c>
      <c r="C289" t="s">
        <v>14</v>
      </c>
      <c r="D289" t="s">
        <v>15</v>
      </c>
      <c r="E289" t="s">
        <v>20</v>
      </c>
      <c r="F289" t="s">
        <v>17</v>
      </c>
      <c r="G289">
        <v>5</v>
      </c>
      <c r="H289">
        <v>49626</v>
      </c>
      <c r="I289">
        <f t="shared" si="8"/>
        <v>248130</v>
      </c>
      <c r="J289" t="str">
        <f t="shared" si="9"/>
        <v>High</v>
      </c>
      <c r="K289" t="str">
        <v>2024-06</v>
      </c>
      <c r="L289" t="str">
        <v>June</v>
      </c>
    </row>
    <row r="290" spans="1:12" x14ac:dyDescent="0.25">
      <c r="A290">
        <v>1289</v>
      </c>
      <c r="B290" t="s">
        <v>24</v>
      </c>
      <c r="C290" t="s">
        <v>14</v>
      </c>
      <c r="D290" t="s">
        <v>10</v>
      </c>
      <c r="E290" t="s">
        <v>11</v>
      </c>
      <c r="F290" t="s">
        <v>12</v>
      </c>
      <c r="G290">
        <v>2</v>
      </c>
      <c r="H290">
        <v>26223</v>
      </c>
      <c r="I290">
        <f t="shared" si="8"/>
        <v>52446</v>
      </c>
      <c r="J290" t="str">
        <f t="shared" si="9"/>
        <v>Normal</v>
      </c>
      <c r="K290" t="str">
        <v>2024-03</v>
      </c>
      <c r="L290" t="str">
        <v>March</v>
      </c>
    </row>
    <row r="291" spans="1:12" x14ac:dyDescent="0.25">
      <c r="A291">
        <v>1290</v>
      </c>
      <c r="B291" t="s">
        <v>47</v>
      </c>
      <c r="C291" t="s">
        <v>9</v>
      </c>
      <c r="D291" t="s">
        <v>49</v>
      </c>
      <c r="E291" t="s">
        <v>35</v>
      </c>
      <c r="F291" t="s">
        <v>12</v>
      </c>
      <c r="G291">
        <v>1</v>
      </c>
      <c r="H291">
        <v>9690</v>
      </c>
      <c r="I291">
        <f t="shared" si="8"/>
        <v>9690</v>
      </c>
      <c r="J291" t="str">
        <f t="shared" si="9"/>
        <v>Normal</v>
      </c>
      <c r="K291" t="str">
        <v>2024-03</v>
      </c>
      <c r="L291" t="str">
        <v>March</v>
      </c>
    </row>
    <row r="292" spans="1:12" x14ac:dyDescent="0.25">
      <c r="A292">
        <v>1291</v>
      </c>
      <c r="B292" t="s">
        <v>134</v>
      </c>
      <c r="C292" t="s">
        <v>14</v>
      </c>
      <c r="D292" t="s">
        <v>15</v>
      </c>
      <c r="E292" t="s">
        <v>23</v>
      </c>
      <c r="F292" t="s">
        <v>17</v>
      </c>
      <c r="G292">
        <v>3</v>
      </c>
      <c r="H292">
        <v>28803</v>
      </c>
      <c r="I292">
        <f t="shared" si="8"/>
        <v>86409</v>
      </c>
      <c r="J292" t="str">
        <f t="shared" si="9"/>
        <v>Normal</v>
      </c>
      <c r="K292" t="str">
        <v>2024-04</v>
      </c>
      <c r="L292" t="str">
        <v>April</v>
      </c>
    </row>
    <row r="293" spans="1:12" x14ac:dyDescent="0.25">
      <c r="A293">
        <v>1292</v>
      </c>
      <c r="B293" t="s">
        <v>44</v>
      </c>
      <c r="C293" t="s">
        <v>14</v>
      </c>
      <c r="D293" t="s">
        <v>31</v>
      </c>
      <c r="E293" t="s">
        <v>23</v>
      </c>
      <c r="F293" t="s">
        <v>17</v>
      </c>
      <c r="G293">
        <v>7</v>
      </c>
      <c r="H293">
        <v>32145</v>
      </c>
      <c r="I293">
        <f t="shared" si="8"/>
        <v>225015</v>
      </c>
      <c r="J293" t="str">
        <f t="shared" si="9"/>
        <v>High</v>
      </c>
      <c r="K293" t="str">
        <v>2024-01</v>
      </c>
      <c r="L293" t="str">
        <v>January</v>
      </c>
    </row>
    <row r="294" spans="1:12" x14ac:dyDescent="0.25">
      <c r="A294">
        <v>1293</v>
      </c>
      <c r="B294" t="s">
        <v>107</v>
      </c>
      <c r="C294" t="s">
        <v>9</v>
      </c>
      <c r="D294" t="s">
        <v>42</v>
      </c>
      <c r="E294" t="s">
        <v>32</v>
      </c>
      <c r="F294" t="s">
        <v>12</v>
      </c>
      <c r="G294">
        <v>5</v>
      </c>
      <c r="H294">
        <v>2674</v>
      </c>
      <c r="I294">
        <f t="shared" si="8"/>
        <v>13370</v>
      </c>
      <c r="J294" t="str">
        <f t="shared" si="9"/>
        <v>Normal</v>
      </c>
      <c r="K294" t="str">
        <v>2024-03</v>
      </c>
      <c r="L294" t="str">
        <v>March</v>
      </c>
    </row>
    <row r="295" spans="1:12" x14ac:dyDescent="0.25">
      <c r="A295">
        <v>1294</v>
      </c>
      <c r="B295" t="s">
        <v>46</v>
      </c>
      <c r="C295" t="s">
        <v>19</v>
      </c>
      <c r="D295" t="s">
        <v>29</v>
      </c>
      <c r="E295" t="s">
        <v>20</v>
      </c>
      <c r="F295" t="s">
        <v>17</v>
      </c>
      <c r="G295">
        <v>3</v>
      </c>
      <c r="H295">
        <v>50007</v>
      </c>
      <c r="I295">
        <f t="shared" si="8"/>
        <v>150021</v>
      </c>
      <c r="J295" t="str">
        <f t="shared" si="9"/>
        <v>High</v>
      </c>
      <c r="K295" t="str">
        <v>2024-04</v>
      </c>
      <c r="L295" t="str">
        <v>April</v>
      </c>
    </row>
    <row r="296" spans="1:12" x14ac:dyDescent="0.25">
      <c r="A296">
        <v>1295</v>
      </c>
      <c r="B296" t="s">
        <v>65</v>
      </c>
      <c r="C296" t="s">
        <v>27</v>
      </c>
      <c r="D296" t="s">
        <v>42</v>
      </c>
      <c r="E296" t="s">
        <v>32</v>
      </c>
      <c r="F296" t="s">
        <v>12</v>
      </c>
      <c r="G296">
        <v>10</v>
      </c>
      <c r="H296">
        <v>4688</v>
      </c>
      <c r="I296">
        <f t="shared" si="8"/>
        <v>46880</v>
      </c>
      <c r="J296" t="str">
        <f t="shared" si="9"/>
        <v>Normal</v>
      </c>
      <c r="K296" t="str">
        <v>2024-03</v>
      </c>
      <c r="L296" t="str">
        <v>March</v>
      </c>
    </row>
    <row r="297" spans="1:12" x14ac:dyDescent="0.25">
      <c r="A297">
        <v>1296</v>
      </c>
      <c r="B297" t="s">
        <v>131</v>
      </c>
      <c r="C297" t="s">
        <v>19</v>
      </c>
      <c r="D297" t="s">
        <v>29</v>
      </c>
      <c r="E297" t="s">
        <v>16</v>
      </c>
      <c r="F297" t="s">
        <v>17</v>
      </c>
      <c r="G297">
        <v>8</v>
      </c>
      <c r="H297">
        <v>13389</v>
      </c>
      <c r="I297">
        <f t="shared" si="8"/>
        <v>107112</v>
      </c>
      <c r="J297" t="str">
        <f t="shared" si="9"/>
        <v>High</v>
      </c>
      <c r="K297" t="str">
        <v>2024-01</v>
      </c>
      <c r="L297" t="str">
        <v>January</v>
      </c>
    </row>
    <row r="298" spans="1:12" x14ac:dyDescent="0.25">
      <c r="A298">
        <v>1297</v>
      </c>
      <c r="B298" t="s">
        <v>64</v>
      </c>
      <c r="C298" t="s">
        <v>14</v>
      </c>
      <c r="D298" t="s">
        <v>42</v>
      </c>
      <c r="E298" t="s">
        <v>11</v>
      </c>
      <c r="F298" t="s">
        <v>12</v>
      </c>
      <c r="G298">
        <v>5</v>
      </c>
      <c r="H298">
        <v>24305</v>
      </c>
      <c r="I298">
        <f t="shared" si="8"/>
        <v>121525</v>
      </c>
      <c r="J298" t="str">
        <f t="shared" si="9"/>
        <v>High</v>
      </c>
      <c r="K298" t="str">
        <v>2024-03</v>
      </c>
      <c r="L298" t="str">
        <v>March</v>
      </c>
    </row>
    <row r="299" spans="1:12" x14ac:dyDescent="0.25">
      <c r="A299">
        <v>1298</v>
      </c>
      <c r="B299" t="s">
        <v>71</v>
      </c>
      <c r="C299" t="s">
        <v>27</v>
      </c>
      <c r="D299" t="s">
        <v>10</v>
      </c>
      <c r="E299" t="s">
        <v>32</v>
      </c>
      <c r="F299" t="s">
        <v>12</v>
      </c>
      <c r="G299">
        <v>3</v>
      </c>
      <c r="H299">
        <v>1932</v>
      </c>
      <c r="I299">
        <f t="shared" si="8"/>
        <v>5796</v>
      </c>
      <c r="J299" t="str">
        <f t="shared" si="9"/>
        <v>Normal</v>
      </c>
      <c r="K299" t="str">
        <v>2024-04</v>
      </c>
      <c r="L299" t="str">
        <v>April</v>
      </c>
    </row>
    <row r="300" spans="1:12" x14ac:dyDescent="0.25">
      <c r="A300">
        <v>1299</v>
      </c>
      <c r="B300" t="s">
        <v>175</v>
      </c>
      <c r="C300" t="s">
        <v>27</v>
      </c>
      <c r="D300" t="s">
        <v>10</v>
      </c>
      <c r="E300" t="s">
        <v>11</v>
      </c>
      <c r="F300" t="s">
        <v>12</v>
      </c>
      <c r="G300">
        <v>1</v>
      </c>
      <c r="H300">
        <v>25395</v>
      </c>
      <c r="I300">
        <f t="shared" si="8"/>
        <v>25395</v>
      </c>
      <c r="J300" t="str">
        <f t="shared" si="9"/>
        <v>Normal</v>
      </c>
      <c r="K300" t="str">
        <v>2024-06</v>
      </c>
      <c r="L300" t="str">
        <v>June</v>
      </c>
    </row>
    <row r="301" spans="1:12" x14ac:dyDescent="0.25">
      <c r="A301">
        <v>1300</v>
      </c>
      <c r="B301" t="s">
        <v>13</v>
      </c>
      <c r="C301" t="s">
        <v>19</v>
      </c>
      <c r="D301" t="s">
        <v>42</v>
      </c>
      <c r="E301" t="s">
        <v>20</v>
      </c>
      <c r="F301" t="s">
        <v>17</v>
      </c>
      <c r="G301">
        <v>2</v>
      </c>
      <c r="H301">
        <v>52892</v>
      </c>
      <c r="I301">
        <f t="shared" si="8"/>
        <v>105784</v>
      </c>
      <c r="J301" t="str">
        <f t="shared" si="9"/>
        <v>High</v>
      </c>
      <c r="K301" t="str">
        <v>2024-04</v>
      </c>
      <c r="L301" t="str">
        <v>April</v>
      </c>
    </row>
  </sheetData>
  <autoFilter ref="A1:L301" xr:uid="{00000000-0001-0000-0000-000000000000}"/>
  <conditionalFormatting sqref="I2:I301">
    <cfRule type="cellIs" dxfId="66" priority="1" operator="greaterThan">
      <formula>150000</formula>
    </cfRule>
  </conditionalFormatting>
  <pageMargins left="0.75" right="0.75" top="1" bottom="1" header="0.5" footer="0.5"/>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5"/>
  <sheetViews>
    <sheetView workbookViewId="0">
      <selection activeCell="A28" sqref="A28"/>
    </sheetView>
  </sheetViews>
  <sheetFormatPr defaultRowHeight="15" x14ac:dyDescent="0.25"/>
  <cols>
    <col min="1" max="1" width="64.5703125" bestFit="1" customWidth="1"/>
  </cols>
  <sheetData>
    <row r="1" spans="1:1" x14ac:dyDescent="0.25">
      <c r="A1" t="s">
        <v>179</v>
      </c>
    </row>
    <row r="2" spans="1:1" x14ac:dyDescent="0.25">
      <c r="A2" t="s">
        <v>180</v>
      </c>
    </row>
    <row r="3" spans="1:1" x14ac:dyDescent="0.25">
      <c r="A3" t="s">
        <v>181</v>
      </c>
    </row>
    <row r="4" spans="1:1" x14ac:dyDescent="0.25">
      <c r="A4" t="s">
        <v>182</v>
      </c>
    </row>
    <row r="5" spans="1:1" x14ac:dyDescent="0.25">
      <c r="A5" t="s">
        <v>183</v>
      </c>
    </row>
    <row r="6" spans="1:1" x14ac:dyDescent="0.25">
      <c r="A6" t="s">
        <v>184</v>
      </c>
    </row>
    <row r="7" spans="1:1" x14ac:dyDescent="0.25">
      <c r="A7" t="s">
        <v>185</v>
      </c>
    </row>
    <row r="9" spans="1:1" x14ac:dyDescent="0.25">
      <c r="A9" t="s">
        <v>186</v>
      </c>
    </row>
    <row r="10" spans="1:1" x14ac:dyDescent="0.25">
      <c r="A10" t="s">
        <v>187</v>
      </c>
    </row>
    <row r="11" spans="1:1" x14ac:dyDescent="0.25">
      <c r="A11" t="s">
        <v>188</v>
      </c>
    </row>
    <row r="12" spans="1:1" x14ac:dyDescent="0.25">
      <c r="A12" t="s">
        <v>189</v>
      </c>
    </row>
    <row r="13" spans="1:1" x14ac:dyDescent="0.25">
      <c r="A13" t="s">
        <v>190</v>
      </c>
    </row>
    <row r="14" spans="1:1" x14ac:dyDescent="0.25">
      <c r="A14" t="s">
        <v>191</v>
      </c>
    </row>
    <row r="15" spans="1:1" x14ac:dyDescent="0.25">
      <c r="A15" t="s">
        <v>192</v>
      </c>
    </row>
    <row r="16" spans="1:1" x14ac:dyDescent="0.25">
      <c r="A16" t="s">
        <v>193</v>
      </c>
    </row>
    <row r="17" spans="1:1" x14ac:dyDescent="0.25">
      <c r="A17" t="s">
        <v>194</v>
      </c>
    </row>
    <row r="18" spans="1:1" x14ac:dyDescent="0.25">
      <c r="A18" t="s">
        <v>195</v>
      </c>
    </row>
    <row r="20" spans="1:1" x14ac:dyDescent="0.25">
      <c r="A20" t="s">
        <v>196</v>
      </c>
    </row>
    <row r="21" spans="1:1" x14ac:dyDescent="0.25">
      <c r="A21" t="s">
        <v>197</v>
      </c>
    </row>
    <row r="22" spans="1:1" x14ac:dyDescent="0.25">
      <c r="A22" t="s">
        <v>198</v>
      </c>
    </row>
    <row r="23" spans="1:1" x14ac:dyDescent="0.25">
      <c r="A23" t="s">
        <v>199</v>
      </c>
    </row>
    <row r="24" spans="1:1" x14ac:dyDescent="0.25">
      <c r="A24" t="s">
        <v>200</v>
      </c>
    </row>
    <row r="25" spans="1:1" x14ac:dyDescent="0.25">
      <c r="A25" t="s">
        <v>201</v>
      </c>
    </row>
    <row r="26" spans="1:1" x14ac:dyDescent="0.25">
      <c r="A26" t="s">
        <v>202</v>
      </c>
    </row>
    <row r="27" spans="1:1" x14ac:dyDescent="0.25">
      <c r="A27" t="s">
        <v>203</v>
      </c>
    </row>
    <row r="28" spans="1:1" x14ac:dyDescent="0.25">
      <c r="A28" t="s">
        <v>204</v>
      </c>
    </row>
    <row r="29" spans="1:1" x14ac:dyDescent="0.25">
      <c r="A29" t="s">
        <v>205</v>
      </c>
    </row>
    <row r="30" spans="1:1" x14ac:dyDescent="0.25">
      <c r="A30" t="s">
        <v>206</v>
      </c>
    </row>
    <row r="31" spans="1:1" x14ac:dyDescent="0.25">
      <c r="A31" t="s">
        <v>207</v>
      </c>
    </row>
    <row r="32" spans="1:1" x14ac:dyDescent="0.25">
      <c r="A32" t="s">
        <v>208</v>
      </c>
    </row>
    <row r="33" spans="1:1" x14ac:dyDescent="0.25">
      <c r="A33" t="s">
        <v>209</v>
      </c>
    </row>
    <row r="34" spans="1:1" x14ac:dyDescent="0.25">
      <c r="A34" t="s">
        <v>210</v>
      </c>
    </row>
    <row r="35" spans="1:1" x14ac:dyDescent="0.25">
      <c r="A35" t="s">
        <v>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2A47-AA1F-476D-B889-B25C66C623D2}">
  <dimension ref="C13:K35"/>
  <sheetViews>
    <sheetView showGridLines="0" topLeftCell="A10" workbookViewId="0">
      <selection activeCell="M18" sqref="M18"/>
    </sheetView>
  </sheetViews>
  <sheetFormatPr defaultRowHeight="15" x14ac:dyDescent="0.25"/>
  <cols>
    <col min="2" max="2" width="14.42578125" bestFit="1" customWidth="1"/>
    <col min="3" max="3" width="22.7109375" customWidth="1"/>
    <col min="4" max="4" width="12.7109375" customWidth="1"/>
    <col min="5" max="5" width="9.28515625" bestFit="1" customWidth="1"/>
    <col min="6" max="6" width="11.28515625" bestFit="1" customWidth="1"/>
    <col min="7" max="7" width="14.42578125" bestFit="1" customWidth="1"/>
    <col min="8" max="8" width="11" bestFit="1" customWidth="1"/>
    <col min="9" max="9" width="18.140625" customWidth="1"/>
    <col min="10" max="10" width="22.7109375" customWidth="1"/>
    <col min="11" max="11" width="12.7109375" customWidth="1"/>
    <col min="12" max="12" width="15.42578125" customWidth="1"/>
  </cols>
  <sheetData>
    <row r="13" spans="3:11" x14ac:dyDescent="0.25">
      <c r="C13" s="10" t="s">
        <v>3</v>
      </c>
      <c r="D13" s="10" t="s">
        <v>239</v>
      </c>
      <c r="J13" s="10" t="s">
        <v>240</v>
      </c>
      <c r="K13" s="10" t="s">
        <v>239</v>
      </c>
    </row>
    <row r="14" spans="3:11" x14ac:dyDescent="0.25">
      <c r="C14" t="s">
        <v>49</v>
      </c>
      <c r="D14" s="20">
        <v>5944874</v>
      </c>
      <c r="J14" s="7" t="s">
        <v>232</v>
      </c>
      <c r="K14" s="20">
        <v>5952692</v>
      </c>
    </row>
    <row r="15" spans="3:11" x14ac:dyDescent="0.25">
      <c r="C15" t="s">
        <v>15</v>
      </c>
      <c r="D15" s="20">
        <v>6730035</v>
      </c>
      <c r="J15" s="7" t="s">
        <v>233</v>
      </c>
      <c r="K15" s="20">
        <v>5248903</v>
      </c>
    </row>
    <row r="16" spans="3:11" x14ac:dyDescent="0.25">
      <c r="C16" t="s">
        <v>10</v>
      </c>
      <c r="D16" s="20">
        <v>7179924</v>
      </c>
      <c r="J16" s="7" t="s">
        <v>234</v>
      </c>
      <c r="K16" s="20">
        <v>5977072</v>
      </c>
    </row>
    <row r="17" spans="3:11" x14ac:dyDescent="0.25">
      <c r="C17" t="s">
        <v>42</v>
      </c>
      <c r="D17" s="20">
        <v>6319916</v>
      </c>
      <c r="J17" s="7" t="s">
        <v>235</v>
      </c>
      <c r="K17" s="20">
        <v>5774225</v>
      </c>
    </row>
    <row r="18" spans="3:11" x14ac:dyDescent="0.25">
      <c r="C18" t="s">
        <v>29</v>
      </c>
      <c r="D18" s="20">
        <v>3745303</v>
      </c>
      <c r="J18" s="7" t="s">
        <v>236</v>
      </c>
      <c r="K18" s="20">
        <v>5697725</v>
      </c>
    </row>
    <row r="19" spans="3:11" x14ac:dyDescent="0.25">
      <c r="C19" t="s">
        <v>31</v>
      </c>
      <c r="D19" s="20">
        <v>5893228</v>
      </c>
      <c r="J19" s="7" t="s">
        <v>237</v>
      </c>
      <c r="K19" s="20">
        <v>7162663</v>
      </c>
    </row>
    <row r="20" spans="3:11" x14ac:dyDescent="0.25">
      <c r="D20" s="11"/>
      <c r="K20" s="11"/>
    </row>
    <row r="21" spans="3:11" x14ac:dyDescent="0.25">
      <c r="D21" s="11"/>
      <c r="K21" s="11"/>
    </row>
    <row r="22" spans="3:11" x14ac:dyDescent="0.25">
      <c r="C22" s="10" t="s">
        <v>5</v>
      </c>
      <c r="D22" s="22" t="s">
        <v>239</v>
      </c>
      <c r="J22" s="10" t="s">
        <v>4</v>
      </c>
      <c r="K22" s="22" t="s">
        <v>239</v>
      </c>
    </row>
    <row r="23" spans="3:11" x14ac:dyDescent="0.25">
      <c r="C23" s="7" t="s">
        <v>17</v>
      </c>
      <c r="D23" s="20">
        <v>27896636</v>
      </c>
      <c r="J23" s="7" t="s">
        <v>32</v>
      </c>
      <c r="K23" s="20">
        <v>713888</v>
      </c>
    </row>
    <row r="24" spans="3:11" x14ac:dyDescent="0.25">
      <c r="C24" s="7" t="s">
        <v>12</v>
      </c>
      <c r="D24" s="20">
        <v>7916644</v>
      </c>
      <c r="J24" s="7" t="s">
        <v>35</v>
      </c>
      <c r="K24" s="20">
        <v>1367437</v>
      </c>
    </row>
    <row r="25" spans="3:11" x14ac:dyDescent="0.25">
      <c r="D25" s="12"/>
      <c r="J25" s="7" t="s">
        <v>20</v>
      </c>
      <c r="K25" s="20">
        <v>13633591</v>
      </c>
    </row>
    <row r="26" spans="3:11" x14ac:dyDescent="0.25">
      <c r="D26" s="12"/>
      <c r="J26" s="7" t="s">
        <v>25</v>
      </c>
      <c r="K26" s="20">
        <v>4036049</v>
      </c>
    </row>
    <row r="27" spans="3:11" x14ac:dyDescent="0.25">
      <c r="C27" s="10" t="s">
        <v>2</v>
      </c>
      <c r="D27" s="22" t="s">
        <v>239</v>
      </c>
      <c r="J27" s="7" t="s">
        <v>16</v>
      </c>
      <c r="K27" s="20">
        <v>3474922</v>
      </c>
    </row>
    <row r="28" spans="3:11" x14ac:dyDescent="0.25">
      <c r="C28" s="7" t="s">
        <v>14</v>
      </c>
      <c r="D28" s="20">
        <v>10044810</v>
      </c>
      <c r="J28" s="7" t="s">
        <v>11</v>
      </c>
      <c r="K28" s="20">
        <v>5835319</v>
      </c>
    </row>
    <row r="29" spans="3:11" x14ac:dyDescent="0.25">
      <c r="C29" s="7" t="s">
        <v>19</v>
      </c>
      <c r="D29" s="20">
        <v>8259590</v>
      </c>
      <c r="J29" s="7" t="s">
        <v>23</v>
      </c>
      <c r="K29" s="20">
        <v>6752074</v>
      </c>
    </row>
    <row r="30" spans="3:11" x14ac:dyDescent="0.25">
      <c r="C30" s="7" t="s">
        <v>9</v>
      </c>
      <c r="D30" s="20">
        <v>8790984</v>
      </c>
    </row>
    <row r="31" spans="3:11" x14ac:dyDescent="0.25">
      <c r="C31" s="7" t="s">
        <v>27</v>
      </c>
      <c r="D31" s="20">
        <v>8717896</v>
      </c>
    </row>
    <row r="35" spans="4:4" x14ac:dyDescent="0.25">
      <c r="D35" s="2"/>
    </row>
  </sheetData>
  <conditionalFormatting pivot="1" sqref="D14:D19">
    <cfRule type="colorScale" priority="9">
      <colorScale>
        <cfvo type="min"/>
        <cfvo type="percentile" val="50"/>
        <cfvo type="max"/>
        <color rgb="FFFFC78F"/>
        <color rgb="FFFFA953"/>
        <color rgb="FFFF9933"/>
      </colorScale>
    </cfRule>
  </conditionalFormatting>
  <conditionalFormatting pivot="1" sqref="K14:K19">
    <cfRule type="colorScale" priority="6">
      <colorScale>
        <cfvo type="min"/>
        <cfvo type="percentile" val="50"/>
        <cfvo type="max"/>
        <color rgb="FFFFC78F"/>
        <color rgb="FFFFA953"/>
        <color rgb="FFFF9933"/>
      </colorScale>
    </cfRule>
  </conditionalFormatting>
  <conditionalFormatting pivot="1" sqref="K23:K29">
    <cfRule type="colorScale" priority="5">
      <colorScale>
        <cfvo type="min"/>
        <cfvo type="percentile" val="50"/>
        <cfvo type="max"/>
        <color rgb="FFFFC78F"/>
        <color rgb="FFFFA54B"/>
        <color rgb="FFFF9933"/>
      </colorScale>
    </cfRule>
  </conditionalFormatting>
  <conditionalFormatting sqref="D35">
    <cfRule type="colorScale" priority="15">
      <colorScale>
        <cfvo type="min"/>
        <cfvo type="percentile" val="50"/>
        <cfvo type="max"/>
        <color rgb="FFFFC78F"/>
        <color rgb="FFFFA953"/>
        <color rgb="FFFF9933"/>
      </colorScale>
    </cfRule>
  </conditionalFormatting>
  <conditionalFormatting sqref="D26">
    <cfRule type="colorScale" priority="16">
      <colorScale>
        <cfvo type="min"/>
        <cfvo type="percentile" val="50"/>
        <cfvo type="max"/>
        <color rgb="FFFFC78F"/>
        <color rgb="FFFFA953"/>
        <color rgb="FFFF9933"/>
      </colorScale>
    </cfRule>
  </conditionalFormatting>
  <conditionalFormatting sqref="D25">
    <cfRule type="colorScale" priority="4">
      <colorScale>
        <cfvo type="min"/>
        <cfvo type="percentile" val="50"/>
        <cfvo type="max"/>
        <color rgb="FFFFC78F"/>
        <color rgb="FFFFA953"/>
        <color rgb="FFFF9933"/>
      </colorScale>
    </cfRule>
  </conditionalFormatting>
  <conditionalFormatting pivot="1" sqref="D28:D31">
    <cfRule type="colorScale" priority="2">
      <colorScale>
        <cfvo type="min"/>
        <cfvo type="percentile" val="50"/>
        <cfvo type="max"/>
        <color rgb="FFFFC78F"/>
        <color rgb="FFFFA953"/>
        <color rgb="FFFF9933"/>
      </colorScale>
    </cfRule>
  </conditionalFormatting>
  <conditionalFormatting pivot="1" sqref="D23:D24">
    <cfRule type="colorScale" priority="1">
      <colorScale>
        <cfvo type="min"/>
        <cfvo type="percentile" val="50"/>
        <cfvo type="max"/>
        <color rgb="FFFFC78F"/>
        <color rgb="FFFFA953"/>
        <color rgb="FFFF9933"/>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7B3B-3781-43DA-8979-ADEA7F120591}">
  <dimension ref="B2:D63"/>
  <sheetViews>
    <sheetView workbookViewId="0">
      <selection activeCell="E14" sqref="E14"/>
    </sheetView>
  </sheetViews>
  <sheetFormatPr defaultRowHeight="15" x14ac:dyDescent="0.25"/>
  <cols>
    <col min="2" max="2" width="17.85546875" customWidth="1"/>
    <col min="3" max="3" width="18.7109375" customWidth="1"/>
    <col min="4" max="4" width="11.85546875" customWidth="1"/>
    <col min="16" max="16" width="19.85546875" customWidth="1"/>
    <col min="17" max="17" width="20.42578125" customWidth="1"/>
  </cols>
  <sheetData>
    <row r="2" spans="2:3" x14ac:dyDescent="0.25">
      <c r="B2" s="3" t="s">
        <v>205</v>
      </c>
    </row>
    <row r="3" spans="2:3" x14ac:dyDescent="0.25">
      <c r="B3" s="3" t="s">
        <v>242</v>
      </c>
    </row>
    <row r="5" spans="2:3" ht="15.75" x14ac:dyDescent="0.25">
      <c r="B5" s="13" t="s">
        <v>4</v>
      </c>
      <c r="C5" s="14" t="s">
        <v>241</v>
      </c>
    </row>
    <row r="6" spans="2:3" x14ac:dyDescent="0.25">
      <c r="B6" t="str" cm="1">
        <f t="array" ref="B6:B12">_xlfn.UNIQUE(Sales_Data!$E$2:$E$301)</f>
        <v>Sofa</v>
      </c>
      <c r="C6" s="21">
        <f>_xlfn.XLOOKUP('q.24 to q.29'!B6,Sales_Data!$E$2:$E$301,Sales_Data!$H$2:$H$301)</f>
        <v>24676</v>
      </c>
    </row>
    <row r="7" spans="2:3" x14ac:dyDescent="0.25">
      <c r="B7" t="str">
        <v>Printer</v>
      </c>
      <c r="C7" s="21">
        <f>_xlfn.XLOOKUP('q.24 to q.29'!B7,Sales_Data!$E$2:$E$301,Sales_Data!$H$2:$H$301)</f>
        <v>13955</v>
      </c>
    </row>
    <row r="8" spans="2:3" x14ac:dyDescent="0.25">
      <c r="B8" t="str">
        <v>Laptop</v>
      </c>
      <c r="C8" s="21">
        <f>_xlfn.XLOOKUP('q.24 to q.29'!B8,Sales_Data!$E$2:$E$301,Sales_Data!$H$2:$H$301)</f>
        <v>49847</v>
      </c>
    </row>
    <row r="9" spans="2:3" x14ac:dyDescent="0.25">
      <c r="B9" t="str">
        <v>Tablet</v>
      </c>
      <c r="C9" s="21">
        <f>_xlfn.XLOOKUP('q.24 to q.29'!B9,Sales_Data!$E$2:$E$301,Sales_Data!$H$2:$H$301)</f>
        <v>30244</v>
      </c>
    </row>
    <row r="10" spans="2:3" x14ac:dyDescent="0.25">
      <c r="B10" t="str">
        <v>Mobile</v>
      </c>
      <c r="C10" s="21">
        <f>_xlfn.XLOOKUP('q.24 to q.29'!B10,Sales_Data!$E$2:$E$301,Sales_Data!$H$2:$H$301)</f>
        <v>19477</v>
      </c>
    </row>
    <row r="11" spans="2:3" x14ac:dyDescent="0.25">
      <c r="B11" t="str">
        <v>Chair</v>
      </c>
      <c r="C11" s="21">
        <f>_xlfn.XLOOKUP('q.24 to q.29'!B11,Sales_Data!$E$2:$E$301,Sales_Data!$H$2:$H$301)</f>
        <v>1939</v>
      </c>
    </row>
    <row r="12" spans="2:3" x14ac:dyDescent="0.25">
      <c r="B12" t="str">
        <v>Desk</v>
      </c>
      <c r="C12" s="21">
        <f>_xlfn.XLOOKUP('q.24 to q.29'!B12,Sales_Data!$E$2:$E$301,Sales_Data!$H$2:$H$301)</f>
        <v>8542</v>
      </c>
    </row>
    <row r="14" spans="2:3" x14ac:dyDescent="0.25">
      <c r="B14" s="3" t="s">
        <v>206</v>
      </c>
    </row>
    <row r="15" spans="2:3" x14ac:dyDescent="0.25">
      <c r="B15" s="3" t="s">
        <v>245</v>
      </c>
    </row>
    <row r="17" spans="2:3" ht="15.75" x14ac:dyDescent="0.25">
      <c r="B17" s="13" t="s">
        <v>4</v>
      </c>
      <c r="C17" s="14" t="s">
        <v>241</v>
      </c>
    </row>
    <row r="18" spans="2:3" x14ac:dyDescent="0.25">
      <c r="B18" t="str" cm="1">
        <f t="array" ref="B18:B24">_xlfn.UNIQUE(Sales_Data!$E$2:$E$301)</f>
        <v>Sofa</v>
      </c>
      <c r="C18" s="21">
        <f>INDEX(Sales_Data!$A$2:$L$301,MATCH('q.24 to q.29'!B18,Sales_Data!$E$2:$E$301,0),8)</f>
        <v>24676</v>
      </c>
    </row>
    <row r="19" spans="2:3" x14ac:dyDescent="0.25">
      <c r="B19" t="str">
        <v>Printer</v>
      </c>
      <c r="C19" s="21">
        <f>INDEX(Sales_Data!$A$2:$L$301,MATCH('q.24 to q.29'!B19,Sales_Data!$E$2:$E$301,0),8)</f>
        <v>13955</v>
      </c>
    </row>
    <row r="20" spans="2:3" x14ac:dyDescent="0.25">
      <c r="B20" t="str">
        <v>Laptop</v>
      </c>
      <c r="C20" s="21">
        <f>INDEX(Sales_Data!$A$2:$L$301,MATCH('q.24 to q.29'!B20,Sales_Data!$E$2:$E$301,0),8)</f>
        <v>49847</v>
      </c>
    </row>
    <row r="21" spans="2:3" x14ac:dyDescent="0.25">
      <c r="B21" t="str">
        <v>Tablet</v>
      </c>
      <c r="C21" s="21">
        <f>INDEX(Sales_Data!$A$2:$L$301,MATCH('q.24 to q.29'!B21,Sales_Data!$E$2:$E$301,0),8)</f>
        <v>30244</v>
      </c>
    </row>
    <row r="22" spans="2:3" x14ac:dyDescent="0.25">
      <c r="B22" t="str">
        <v>Mobile</v>
      </c>
      <c r="C22" s="21">
        <f>INDEX(Sales_Data!$A$2:$L$301,MATCH('q.24 to q.29'!B22,Sales_Data!$E$2:$E$301,0),8)</f>
        <v>19477</v>
      </c>
    </row>
    <row r="23" spans="2:3" x14ac:dyDescent="0.25">
      <c r="B23" t="str">
        <v>Chair</v>
      </c>
      <c r="C23" s="21">
        <f>INDEX(Sales_Data!$A$2:$L$301,MATCH('q.24 to q.29'!B23,Sales_Data!$E$2:$E$301,0),8)</f>
        <v>1939</v>
      </c>
    </row>
    <row r="24" spans="2:3" x14ac:dyDescent="0.25">
      <c r="B24" t="str">
        <v>Desk</v>
      </c>
      <c r="C24" s="21">
        <f>INDEX(Sales_Data!$A$2:$L$301,MATCH('q.24 to q.29'!B24,Sales_Data!$E$2:$E$301,0),8)</f>
        <v>8542</v>
      </c>
    </row>
    <row r="27" spans="2:3" x14ac:dyDescent="0.25">
      <c r="B27" s="3" t="s">
        <v>207</v>
      </c>
    </row>
    <row r="29" spans="2:3" x14ac:dyDescent="0.25">
      <c r="B29" t="s">
        <v>246</v>
      </c>
    </row>
    <row r="30" spans="2:3" x14ac:dyDescent="0.25">
      <c r="B30" t="s">
        <v>16</v>
      </c>
      <c r="C30">
        <f>_xlfn.XLOOKUP('q.24 to q.29'!B30,Sales_Data!$E$2:$E$301,Sales_Data!$H$2:$H$301)</f>
        <v>13955</v>
      </c>
    </row>
    <row r="32" spans="2:3" x14ac:dyDescent="0.25">
      <c r="B32" s="3" t="s">
        <v>208</v>
      </c>
    </row>
    <row r="33" spans="2:4" x14ac:dyDescent="0.25">
      <c r="B33" s="3" t="s">
        <v>243</v>
      </c>
    </row>
    <row r="35" spans="2:4" ht="15.75" x14ac:dyDescent="0.25">
      <c r="B35" s="13" t="s">
        <v>4</v>
      </c>
      <c r="C35" s="14" t="s">
        <v>241</v>
      </c>
    </row>
    <row r="36" spans="2:4" x14ac:dyDescent="0.25">
      <c r="B36" t="str" cm="1">
        <f t="array" ref="B36:B42">_xlfn.UNIQUE(Sales_Data!$E$2:$E$301)</f>
        <v>Sofa</v>
      </c>
      <c r="C36" s="21">
        <f>IFERROR(_xlfn.XLOOKUP(B36,Sales_Data!$E$2:$E$301,Sales_Data!$H$2:$H$301),"NA")</f>
        <v>24676</v>
      </c>
    </row>
    <row r="37" spans="2:4" x14ac:dyDescent="0.25">
      <c r="B37" t="str">
        <v>Printer</v>
      </c>
      <c r="C37" s="21">
        <f>IFERROR(_xlfn.XLOOKUP(B37,Sales_Data!$E$2:$E$301,Sales_Data!$H$2:$H$301),"NA")</f>
        <v>13955</v>
      </c>
    </row>
    <row r="38" spans="2:4" x14ac:dyDescent="0.25">
      <c r="B38" t="str">
        <v>Laptop</v>
      </c>
      <c r="C38" s="21">
        <f>IFERROR(_xlfn.XLOOKUP(B38,Sales_Data!$E$2:$E$301,Sales_Data!$H$2:$H$301),"NA")</f>
        <v>49847</v>
      </c>
    </row>
    <row r="39" spans="2:4" x14ac:dyDescent="0.25">
      <c r="B39" t="str">
        <v>Tablet</v>
      </c>
      <c r="C39" s="21">
        <f>IFERROR(_xlfn.XLOOKUP(B39,Sales_Data!$E$2:$E$301,Sales_Data!$H$2:$H$301),"NA")</f>
        <v>30244</v>
      </c>
    </row>
    <row r="40" spans="2:4" x14ac:dyDescent="0.25">
      <c r="B40" t="str">
        <v>Mobile</v>
      </c>
      <c r="C40" s="21">
        <f>IFERROR(_xlfn.XLOOKUP(B40,Sales_Data!$E$2:$E$301,Sales_Data!$H$2:$H$301),"NA")</f>
        <v>19477</v>
      </c>
    </row>
    <row r="41" spans="2:4" x14ac:dyDescent="0.25">
      <c r="B41" t="str">
        <v>Chair</v>
      </c>
      <c r="C41" s="21">
        <f>IFERROR(_xlfn.XLOOKUP(B41,Sales_Data!$E$2:$E$301,Sales_Data!$H$2:$H$301),"NA")</f>
        <v>1939</v>
      </c>
    </row>
    <row r="42" spans="2:4" x14ac:dyDescent="0.25">
      <c r="B42" t="str">
        <v>Desk</v>
      </c>
      <c r="C42" s="21">
        <f>IFERROR(_xlfn.XLOOKUP(B42,Sales_Data!$E$2:$E$301,Sales_Data!$H$2:$H$301),"NA")</f>
        <v>8542</v>
      </c>
    </row>
    <row r="43" spans="2:4" x14ac:dyDescent="0.25">
      <c r="B43" t="s">
        <v>244</v>
      </c>
      <c r="C43" s="11" t="str">
        <f>IFERROR(_xlfn.XLOOKUP(B43,Sales_Data!$E$2:$E$301,Sales_Data!$H$2:$H$301),"NA")</f>
        <v>NA</v>
      </c>
    </row>
    <row r="46" spans="2:4" x14ac:dyDescent="0.25">
      <c r="B46" s="3" t="s">
        <v>209</v>
      </c>
    </row>
    <row r="48" spans="2:4" ht="15.75" x14ac:dyDescent="0.25">
      <c r="B48" s="13" t="s">
        <v>247</v>
      </c>
      <c r="C48" s="14" t="s">
        <v>212</v>
      </c>
      <c r="D48" s="14" t="s">
        <v>248</v>
      </c>
    </row>
    <row r="49" spans="2:4" x14ac:dyDescent="0.25">
      <c r="B49" t="str" cm="1">
        <f t="array" ref="B49:B54">_xlfn.UNIQUE(Sales_Data!$D$2:$D$301)</f>
        <v>Priya</v>
      </c>
      <c r="C49" s="20">
        <f>SUMIF(Sales_Data!$D$2:$D$301,'q.24 to q.29'!B49,Sales_Data!$I$2:$I$301)</f>
        <v>7179924</v>
      </c>
      <c r="D49" s="11">
        <f t="shared" ref="D49:D54" si="0">_xlfn.RANK.EQ(C49,$C$49:$C$54,0)</f>
        <v>1</v>
      </c>
    </row>
    <row r="50" spans="2:4" x14ac:dyDescent="0.25">
      <c r="B50" t="str">
        <v>Karan</v>
      </c>
      <c r="C50" s="20">
        <f>SUMIF(Sales_Data!$D$2:$D$301,'q.24 to q.29'!B50,Sales_Data!$I$2:$I$301)</f>
        <v>6730035</v>
      </c>
      <c r="D50" s="11">
        <f t="shared" si="0"/>
        <v>2</v>
      </c>
    </row>
    <row r="51" spans="2:4" x14ac:dyDescent="0.25">
      <c r="B51" t="str">
        <v>Riya</v>
      </c>
      <c r="C51" s="20">
        <f>SUMIF(Sales_Data!$D$2:$D$301,'q.24 to q.29'!B51,Sales_Data!$I$2:$I$301)</f>
        <v>3745303</v>
      </c>
      <c r="D51" s="11">
        <f t="shared" si="0"/>
        <v>6</v>
      </c>
    </row>
    <row r="52" spans="2:4" x14ac:dyDescent="0.25">
      <c r="B52" t="str">
        <v>Sneha</v>
      </c>
      <c r="C52" s="20">
        <f>SUMIF(Sales_Data!$D$2:$D$301,'q.24 to q.29'!B52,Sales_Data!$I$2:$I$301)</f>
        <v>5893228</v>
      </c>
      <c r="D52" s="11">
        <f t="shared" si="0"/>
        <v>5</v>
      </c>
    </row>
    <row r="53" spans="2:4" x14ac:dyDescent="0.25">
      <c r="B53" t="str">
        <v>Rahul</v>
      </c>
      <c r="C53" s="20">
        <f>SUMIF(Sales_Data!$D$2:$D$301,'q.24 to q.29'!B53,Sales_Data!$I$2:$I$301)</f>
        <v>6319916</v>
      </c>
      <c r="D53" s="11">
        <f t="shared" si="0"/>
        <v>3</v>
      </c>
    </row>
    <row r="54" spans="2:4" x14ac:dyDescent="0.25">
      <c r="B54" t="str">
        <v>Amit</v>
      </c>
      <c r="C54" s="20">
        <f>SUMIF(Sales_Data!$D$2:$D$301,'q.24 to q.29'!B54,Sales_Data!$I$2:$I$301)</f>
        <v>5944874</v>
      </c>
      <c r="D54" s="11">
        <f t="shared" si="0"/>
        <v>4</v>
      </c>
    </row>
    <row r="56" spans="2:4" x14ac:dyDescent="0.25">
      <c r="B56" s="3" t="s">
        <v>210</v>
      </c>
    </row>
    <row r="58" spans="2:4" ht="15.75" x14ac:dyDescent="0.25">
      <c r="B58" s="15" t="s">
        <v>4</v>
      </c>
      <c r="C58" s="16" t="s">
        <v>249</v>
      </c>
    </row>
    <row r="59" spans="2:4" x14ac:dyDescent="0.25">
      <c r="B59" s="7" t="s">
        <v>20</v>
      </c>
      <c r="C59" s="20">
        <v>13633591</v>
      </c>
    </row>
    <row r="60" spans="2:4" x14ac:dyDescent="0.25">
      <c r="B60" s="7" t="s">
        <v>25</v>
      </c>
      <c r="C60" s="20">
        <v>4036049</v>
      </c>
    </row>
    <row r="61" spans="2:4" x14ac:dyDescent="0.25">
      <c r="B61" s="7" t="s">
        <v>16</v>
      </c>
      <c r="C61" s="20">
        <v>3474922</v>
      </c>
    </row>
    <row r="62" spans="2:4" x14ac:dyDescent="0.25">
      <c r="B62" s="7" t="s">
        <v>11</v>
      </c>
      <c r="C62" s="20">
        <v>5835319</v>
      </c>
    </row>
    <row r="63" spans="2:4" x14ac:dyDescent="0.25">
      <c r="B63" s="7" t="s">
        <v>23</v>
      </c>
      <c r="C63" s="20">
        <v>6752074</v>
      </c>
    </row>
  </sheetData>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1133898D-869E-4A5A-A5D2-A5F001A0E534}">
          <x14:formula1>
            <xm:f>Sales_Data!$E$2:$E$301</xm:f>
          </x14:formula1>
          <xm:sqref>B30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1AF1-6680-4716-8D6D-393774EB06FC}">
  <dimension ref="B2:I51"/>
  <sheetViews>
    <sheetView workbookViewId="0">
      <selection activeCell="E22" sqref="E22"/>
    </sheetView>
  </sheetViews>
  <sheetFormatPr defaultRowHeight="15" x14ac:dyDescent="0.25"/>
  <cols>
    <col min="2" max="2" width="13.140625" bestFit="1" customWidth="1"/>
    <col min="3" max="3" width="20.5703125" bestFit="1" customWidth="1"/>
    <col min="4" max="4" width="13.140625" bestFit="1" customWidth="1"/>
    <col min="5" max="5" width="15.28515625" customWidth="1"/>
    <col min="6" max="6" width="17.5703125" customWidth="1"/>
    <col min="8" max="8" width="13.140625" bestFit="1" customWidth="1"/>
    <col min="9" max="9" width="17.28515625" bestFit="1" customWidth="1"/>
    <col min="14" max="14" width="17.28515625" bestFit="1" customWidth="1"/>
    <col min="15" max="15" width="15.42578125" bestFit="1" customWidth="1"/>
  </cols>
  <sheetData>
    <row r="2" spans="2:6" x14ac:dyDescent="0.25">
      <c r="B2" s="6" t="s">
        <v>229</v>
      </c>
      <c r="C2" t="s">
        <v>230</v>
      </c>
      <c r="E2" s="6" t="s">
        <v>229</v>
      </c>
      <c r="F2" t="s">
        <v>230</v>
      </c>
    </row>
    <row r="3" spans="2:6" x14ac:dyDescent="0.25">
      <c r="B3" s="7" t="s">
        <v>14</v>
      </c>
      <c r="C3" s="19">
        <v>10044810</v>
      </c>
      <c r="E3" s="7" t="s">
        <v>232</v>
      </c>
      <c r="F3" s="19">
        <v>5952692</v>
      </c>
    </row>
    <row r="4" spans="2:6" x14ac:dyDescent="0.25">
      <c r="B4" s="7" t="s">
        <v>19</v>
      </c>
      <c r="C4" s="19">
        <v>8259590</v>
      </c>
      <c r="E4" s="7" t="s">
        <v>233</v>
      </c>
      <c r="F4" s="19">
        <v>5248903</v>
      </c>
    </row>
    <row r="5" spans="2:6" x14ac:dyDescent="0.25">
      <c r="B5" s="7" t="s">
        <v>9</v>
      </c>
      <c r="C5" s="19">
        <v>8790984</v>
      </c>
      <c r="E5" s="7" t="s">
        <v>234</v>
      </c>
      <c r="F5" s="19">
        <v>5977072</v>
      </c>
    </row>
    <row r="6" spans="2:6" x14ac:dyDescent="0.25">
      <c r="B6" s="7" t="s">
        <v>27</v>
      </c>
      <c r="C6" s="19">
        <v>8717896</v>
      </c>
      <c r="E6" s="7" t="s">
        <v>235</v>
      </c>
      <c r="F6" s="19">
        <v>5774225</v>
      </c>
    </row>
    <row r="7" spans="2:6" x14ac:dyDescent="0.25">
      <c r="B7" s="7" t="s">
        <v>228</v>
      </c>
      <c r="C7" s="19">
        <v>35813280</v>
      </c>
      <c r="E7" s="7" t="s">
        <v>236</v>
      </c>
      <c r="F7" s="19">
        <v>5697725</v>
      </c>
    </row>
    <row r="8" spans="2:6" x14ac:dyDescent="0.25">
      <c r="E8" s="7" t="s">
        <v>237</v>
      </c>
      <c r="F8" s="19">
        <v>7162663</v>
      </c>
    </row>
    <row r="9" spans="2:6" x14ac:dyDescent="0.25">
      <c r="B9" s="6" t="s">
        <v>229</v>
      </c>
      <c r="C9" t="s">
        <v>230</v>
      </c>
      <c r="E9" s="7" t="s">
        <v>228</v>
      </c>
      <c r="F9" s="19">
        <v>35813280</v>
      </c>
    </row>
    <row r="10" spans="2:6" x14ac:dyDescent="0.25">
      <c r="B10" s="7" t="s">
        <v>32</v>
      </c>
      <c r="C10" s="19">
        <v>713888</v>
      </c>
    </row>
    <row r="11" spans="2:6" x14ac:dyDescent="0.25">
      <c r="B11" s="7" t="s">
        <v>35</v>
      </c>
      <c r="C11" s="19">
        <v>1367437</v>
      </c>
      <c r="E11" s="6" t="s">
        <v>229</v>
      </c>
      <c r="F11" t="s">
        <v>251</v>
      </c>
    </row>
    <row r="12" spans="2:6" x14ac:dyDescent="0.25">
      <c r="B12" s="7" t="s">
        <v>20</v>
      </c>
      <c r="C12" s="19">
        <v>13633591</v>
      </c>
      <c r="E12" s="7" t="s">
        <v>32</v>
      </c>
      <c r="F12" s="17">
        <v>280</v>
      </c>
    </row>
    <row r="13" spans="2:6" x14ac:dyDescent="0.25">
      <c r="B13" s="7" t="s">
        <v>25</v>
      </c>
      <c r="C13" s="19">
        <v>4036049</v>
      </c>
      <c r="E13" s="7" t="s">
        <v>35</v>
      </c>
      <c r="F13" s="17">
        <v>176</v>
      </c>
    </row>
    <row r="14" spans="2:6" x14ac:dyDescent="0.25">
      <c r="B14" s="7" t="s">
        <v>16</v>
      </c>
      <c r="C14" s="19">
        <v>3474922</v>
      </c>
      <c r="E14" s="7" t="s">
        <v>20</v>
      </c>
      <c r="F14" s="17">
        <v>271</v>
      </c>
    </row>
    <row r="15" spans="2:6" x14ac:dyDescent="0.25">
      <c r="B15" s="7" t="s">
        <v>11</v>
      </c>
      <c r="C15" s="19">
        <v>5835319</v>
      </c>
      <c r="E15" s="7" t="s">
        <v>25</v>
      </c>
      <c r="F15" s="17">
        <v>201</v>
      </c>
    </row>
    <row r="16" spans="2:6" x14ac:dyDescent="0.25">
      <c r="B16" s="7" t="s">
        <v>23</v>
      </c>
      <c r="C16" s="19">
        <v>6752074</v>
      </c>
      <c r="E16" s="7" t="s">
        <v>16</v>
      </c>
      <c r="F16" s="17">
        <v>232</v>
      </c>
    </row>
    <row r="17" spans="2:8" x14ac:dyDescent="0.25">
      <c r="B17" s="7" t="s">
        <v>228</v>
      </c>
      <c r="C17" s="19">
        <v>35813280</v>
      </c>
      <c r="E17" s="7" t="s">
        <v>11</v>
      </c>
      <c r="F17" s="17">
        <v>229</v>
      </c>
    </row>
    <row r="18" spans="2:8" x14ac:dyDescent="0.25">
      <c r="E18" s="7" t="s">
        <v>23</v>
      </c>
      <c r="F18" s="17">
        <v>221</v>
      </c>
    </row>
    <row r="19" spans="2:8" x14ac:dyDescent="0.25">
      <c r="B19" s="6" t="s">
        <v>229</v>
      </c>
      <c r="C19" t="s">
        <v>250</v>
      </c>
      <c r="E19" s="7" t="s">
        <v>228</v>
      </c>
      <c r="F19" s="17">
        <v>1610</v>
      </c>
    </row>
    <row r="20" spans="2:8" x14ac:dyDescent="0.25">
      <c r="B20" s="7" t="s">
        <v>32</v>
      </c>
      <c r="C20" s="18">
        <v>2343.3617021276596</v>
      </c>
    </row>
    <row r="21" spans="2:8" x14ac:dyDescent="0.25">
      <c r="B21" s="7" t="s">
        <v>35</v>
      </c>
      <c r="C21" s="18">
        <v>7658.25</v>
      </c>
      <c r="E21" t="s">
        <v>230</v>
      </c>
      <c r="F21" t="s">
        <v>250</v>
      </c>
    </row>
    <row r="22" spans="2:8" x14ac:dyDescent="0.25">
      <c r="B22" s="7" t="s">
        <v>20</v>
      </c>
      <c r="C22" s="18">
        <v>50413.5625</v>
      </c>
      <c r="E22" s="19">
        <v>35813280</v>
      </c>
      <c r="F22" s="2">
        <v>22158.04</v>
      </c>
    </row>
    <row r="23" spans="2:8" x14ac:dyDescent="0.25">
      <c r="B23" s="7" t="s">
        <v>25</v>
      </c>
      <c r="C23" s="18">
        <v>19979.224999999999</v>
      </c>
    </row>
    <row r="24" spans="2:8" x14ac:dyDescent="0.25">
      <c r="B24" s="7" t="s">
        <v>16</v>
      </c>
      <c r="C24" s="18">
        <v>15007.930232558139</v>
      </c>
      <c r="E24" t="s">
        <v>252</v>
      </c>
      <c r="F24" t="s">
        <v>251</v>
      </c>
      <c r="H24" s="2"/>
    </row>
    <row r="25" spans="2:8" x14ac:dyDescent="0.25">
      <c r="B25" s="7" t="s">
        <v>11</v>
      </c>
      <c r="C25" s="18">
        <v>25311.81395348837</v>
      </c>
      <c r="E25" s="2">
        <v>300</v>
      </c>
      <c r="F25" s="2">
        <v>1610</v>
      </c>
    </row>
    <row r="26" spans="2:8" x14ac:dyDescent="0.25">
      <c r="B26" s="7" t="s">
        <v>23</v>
      </c>
      <c r="C26" s="18">
        <v>30437.39534883721</v>
      </c>
    </row>
    <row r="27" spans="2:8" x14ac:dyDescent="0.25">
      <c r="B27" s="7" t="s">
        <v>228</v>
      </c>
      <c r="C27" s="18">
        <v>22158.04</v>
      </c>
    </row>
    <row r="48" spans="8:9" x14ac:dyDescent="0.25">
      <c r="H48" s="6" t="s">
        <v>229</v>
      </c>
      <c r="I48" t="s">
        <v>230</v>
      </c>
    </row>
    <row r="49" spans="8:9" x14ac:dyDescent="0.25">
      <c r="H49" s="7" t="s">
        <v>17</v>
      </c>
      <c r="I49" s="17">
        <v>27896636</v>
      </c>
    </row>
    <row r="50" spans="8:9" x14ac:dyDescent="0.25">
      <c r="H50" s="7" t="s">
        <v>12</v>
      </c>
      <c r="I50" s="17">
        <v>7916644</v>
      </c>
    </row>
    <row r="51" spans="8:9" x14ac:dyDescent="0.25">
      <c r="H51" s="7" t="s">
        <v>228</v>
      </c>
      <c r="I51" s="17">
        <v>35813280</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F949-3FC2-419E-BD49-9674FC479CE4}">
  <dimension ref="A1"/>
  <sheetViews>
    <sheetView showGridLines="0" zoomScaleNormal="100" workbookViewId="0">
      <selection activeCell="Z19" sqref="Z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Practice_Questions</vt:lpstr>
      <vt:lpstr>23. Pivot and slicer</vt:lpstr>
      <vt:lpstr>q.24 to q.29</vt:lpstr>
      <vt:lpstr>Pivoting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Kumar</cp:lastModifiedBy>
  <dcterms:created xsi:type="dcterms:W3CDTF">2026-03-02T02:22:44Z</dcterms:created>
  <dcterms:modified xsi:type="dcterms:W3CDTF">2026-03-03T03:03:02Z</dcterms:modified>
</cp:coreProperties>
</file>